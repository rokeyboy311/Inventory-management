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/>
  <mc:AlternateContent xmlns:mc="http://schemas.openxmlformats.org/markup-compatibility/2006">
    <mc:Choice Requires="x15">
      <x15ac:absPath xmlns:x15ac="http://schemas.microsoft.com/office/spreadsheetml/2010/11/ac" url="C:\Users\ADMIN\OneDrive\Desktop\work\TC MAINT\ANKLESHWAR GIDC 2026-27\GIDC SDN\RA 2\"/>
    </mc:Choice>
  </mc:AlternateContent>
  <xr:revisionPtr revIDLastSave="0" documentId="13_ncr:1_{64996965-3CCA-464E-A926-05815FC37642}" xr6:coauthVersionLast="47" xr6:coauthVersionMax="47" xr10:uidLastSave="{00000000-0000-0000-0000-000000000000}"/>
  <bookViews>
    <workbookView xWindow="-120" yWindow="-120" windowWidth="29040" windowHeight="15840" activeTab="1" xr2:uid="{C1685AC0-0944-4031-92C2-44A906CF1632}"/>
  </bookViews>
  <sheets>
    <sheet name="BILL FORM-1" sheetId="1" r:id="rId1"/>
    <sheet name="GST BILL" sheetId="8" r:id="rId2"/>
    <sheet name="GST BILL 2" sheetId="11" r:id="rId3"/>
    <sheet name="BILL FORM-2" sheetId="3" r:id="rId4"/>
    <sheet name="Sheet3" sheetId="12" r:id="rId5"/>
    <sheet name="Sheet1" sheetId="13" r:id="rId6"/>
  </sheets>
  <externalReferences>
    <externalReference r:id="rId7"/>
    <externalReference r:id="rId8"/>
  </externalReferences>
  <definedNames>
    <definedName name="_xlnm.Print_Area" localSheetId="0">'BILL FORM-1'!$B$1:$D$65</definedName>
    <definedName name="_xlnm.Print_Area" localSheetId="3">'BILL FORM-2'!$B$2:$Q$59</definedName>
    <definedName name="_xlnm.Print_Area" localSheetId="1">'GST BILL'!$B$2:$L$50</definedName>
    <definedName name="_xlnm.Print_Area" localSheetId="2">'GST BILL 2'!$A$1:$L$73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9" i="11" l="1"/>
  <c r="J25" i="8"/>
  <c r="J33" i="8"/>
  <c r="J32" i="8"/>
  <c r="J20" i="8"/>
  <c r="J34" i="8"/>
  <c r="J47" i="8"/>
  <c r="J48" i="8"/>
  <c r="J21" i="11"/>
  <c r="J22" i="11"/>
  <c r="G33" i="12"/>
  <c r="H33" i="12"/>
  <c r="I33" i="12"/>
  <c r="J33" i="12"/>
  <c r="K33" i="12"/>
  <c r="L33" i="12"/>
  <c r="M33" i="12"/>
  <c r="N33" i="12"/>
  <c r="O33" i="12"/>
  <c r="P33" i="12"/>
  <c r="Q33" i="12"/>
  <c r="R33" i="12"/>
  <c r="S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F33" i="12"/>
  <c r="AG33" i="12"/>
  <c r="AH33" i="12"/>
  <c r="AI33" i="12"/>
  <c r="AJ33" i="12"/>
  <c r="AK33" i="12"/>
  <c r="AL33" i="12"/>
  <c r="AM33" i="12"/>
  <c r="AN33" i="12"/>
  <c r="AO33" i="12"/>
  <c r="E28" i="8"/>
  <c r="J28" i="8" s="1"/>
  <c r="J29" i="8"/>
  <c r="J23" i="8"/>
  <c r="J27" i="8"/>
  <c r="J11" i="11"/>
  <c r="E10" i="8" l="1"/>
  <c r="J10" i="8" s="1"/>
  <c r="E14" i="8"/>
  <c r="E16" i="8"/>
  <c r="J16" i="8" s="1"/>
  <c r="E17" i="8"/>
  <c r="J17" i="8" s="1"/>
  <c r="E18" i="8"/>
  <c r="J18" i="8" s="1"/>
  <c r="E19" i="8"/>
  <c r="J19" i="8" s="1"/>
  <c r="E21" i="8"/>
  <c r="J21" i="8" s="1"/>
  <c r="E22" i="8"/>
  <c r="E26" i="8"/>
  <c r="J26" i="8" s="1"/>
  <c r="E30" i="8"/>
  <c r="J30" i="8" s="1"/>
  <c r="E35" i="8"/>
  <c r="E36" i="8"/>
  <c r="J36" i="8" s="1"/>
  <c r="E37" i="8"/>
  <c r="J37" i="8" s="1"/>
  <c r="E40" i="8"/>
  <c r="J40" i="8" s="1"/>
  <c r="E41" i="8"/>
  <c r="J41" i="8" s="1"/>
  <c r="E42" i="8"/>
  <c r="J42" i="8" s="1"/>
  <c r="E43" i="8"/>
  <c r="E45" i="8"/>
  <c r="J45" i="8" s="1"/>
  <c r="E46" i="8"/>
  <c r="J46" i="8" s="1"/>
  <c r="E13" i="11"/>
  <c r="E14" i="11"/>
  <c r="J14" i="11" s="1"/>
  <c r="E15" i="11"/>
  <c r="J15" i="11" s="1"/>
  <c r="E17" i="11"/>
  <c r="E18" i="11"/>
  <c r="J18" i="11" s="1"/>
  <c r="E23" i="11"/>
  <c r="E49" i="8"/>
  <c r="J49" i="8" s="1"/>
  <c r="E10" i="11"/>
  <c r="J10" i="11" s="1"/>
  <c r="E12" i="8" l="1"/>
  <c r="E13" i="8" s="1"/>
  <c r="J13" i="8" s="1"/>
  <c r="J35" i="8"/>
  <c r="E38" i="8"/>
  <c r="J38" i="8" s="1"/>
  <c r="J22" i="8"/>
  <c r="E24" i="8"/>
  <c r="J24" i="8" s="1"/>
  <c r="E15" i="8"/>
  <c r="J15" i="8" s="1"/>
  <c r="J14" i="8"/>
  <c r="J23" i="11"/>
  <c r="E24" i="11"/>
  <c r="J24" i="11" s="1"/>
  <c r="J43" i="8"/>
  <c r="E44" i="8"/>
  <c r="J44" i="8" s="1"/>
  <c r="J13" i="11"/>
  <c r="E16" i="11"/>
  <c r="J16" i="11" s="1"/>
  <c r="J17" i="11"/>
  <c r="E20" i="11"/>
  <c r="J20" i="11" s="1"/>
  <c r="E11" i="8"/>
  <c r="J12" i="8" l="1"/>
  <c r="J11" i="8"/>
  <c r="E9" i="8"/>
  <c r="J9" i="8" s="1"/>
  <c r="J50" i="8" l="1"/>
  <c r="J9" i="11" s="1"/>
  <c r="K25" i="11" s="1"/>
  <c r="K26" i="11" s="1"/>
  <c r="K27" i="11" s="1"/>
  <c r="K28" i="11" s="1"/>
  <c r="K30" i="11" s="1"/>
</calcChain>
</file>

<file path=xl/sharedStrings.xml><?xml version="1.0" encoding="utf-8"?>
<sst xmlns="http://schemas.openxmlformats.org/spreadsheetml/2006/main" count="344" uniqueCount="258">
  <si>
    <t>NOTES</t>
  </si>
  <si>
    <t>BILL FORM</t>
  </si>
  <si>
    <t>Refrence to P.W. Account Code, see Chapter X.para288 and Paras,</t>
  </si>
  <si>
    <t>544, and 548 of P.W.D. Manual)</t>
  </si>
  <si>
    <t xml:space="preserve">       (For Contractors and Suppliers, This form provides only for</t>
  </si>
  <si>
    <t>payments for work of supplies actually measured.</t>
  </si>
  <si>
    <t>1. The full name of the work as given in the estimate should be</t>
  </si>
  <si>
    <t xml:space="preserve">    entered against the line "Name of Work" except in the case of</t>
  </si>
  <si>
    <t xml:space="preserve">    bills for 'Stock" materials.</t>
  </si>
  <si>
    <t>CASH BOOKVOUCHER NO.</t>
  </si>
  <si>
    <t>2. The purpose of supply applicable to the case should be filled</t>
  </si>
  <si>
    <t xml:space="preserve">     in and the rest scored out.</t>
  </si>
  <si>
    <t>3. If the outlay on the work is recorded by sub-head, the total for</t>
  </si>
  <si>
    <t xml:space="preserve">    each sub-head should be shown in column 5 and against this</t>
  </si>
  <si>
    <t xml:space="preserve">    total, there should be an  entry in column 6 also in no other</t>
  </si>
  <si>
    <t>DATE</t>
  </si>
  <si>
    <t xml:space="preserve">    case should any entries be made in column 6.</t>
  </si>
  <si>
    <t>Memorandum of payments</t>
  </si>
  <si>
    <t>Name of Contractor or Supplier-</t>
  </si>
  <si>
    <t>4. The Figures against (K) should be tasted to see that it agree</t>
  </si>
  <si>
    <t xml:space="preserve">    with the total of items 4 and 5.</t>
  </si>
  <si>
    <t>Name of Work-</t>
  </si>
  <si>
    <t>5. If the net amount to be paid is less than Rs. 10 and I cannot</t>
  </si>
  <si>
    <t xml:space="preserve">    be included in a Cheque. The payment should be made in</t>
  </si>
  <si>
    <t xml:space="preserve">    cash, the pay order being altered suitably and the alteration</t>
  </si>
  <si>
    <t xml:space="preserve">    attested by dated initials.</t>
  </si>
  <si>
    <t>6. The payee's acknowledgment should be for the gross amount</t>
  </si>
  <si>
    <t>Purpose of Supply-</t>
  </si>
  <si>
    <t xml:space="preserve">    paid as per item 5 (i.e. a+b+c)</t>
  </si>
  <si>
    <t>7. Payment should be attested by some known person when the</t>
  </si>
  <si>
    <t xml:space="preserve">    payee's acknowledgment given by a mark seal of thumb</t>
  </si>
  <si>
    <t>No and date last Bill for this work- Nil</t>
  </si>
  <si>
    <t xml:space="preserve">   imperession.</t>
  </si>
  <si>
    <t>Reference to Agreement of -</t>
  </si>
  <si>
    <t>8. The column Figures for works abstract is not required in the</t>
  </si>
  <si>
    <t xml:space="preserve">    case of bill of Suppliers.</t>
  </si>
  <si>
    <t xml:space="preserve">Date Of Commencement      :-  </t>
  </si>
  <si>
    <t xml:space="preserve">Time Limit:-  </t>
  </si>
  <si>
    <t>RECIEPT NO. :</t>
  </si>
  <si>
    <t xml:space="preserve">Due Date of completion:-  </t>
  </si>
  <si>
    <t xml:space="preserve">Actual date of completion :- </t>
  </si>
  <si>
    <t>W.M.B. No. :</t>
  </si>
  <si>
    <t>Contractor's ledger Folio No.:</t>
  </si>
  <si>
    <t>Page No.    :</t>
  </si>
  <si>
    <t>Bill Passed for Rs.____________________________________</t>
  </si>
  <si>
    <t>Technically Scrutinized</t>
  </si>
  <si>
    <t>&amp; Pay for Rs._________________________________________</t>
  </si>
  <si>
    <t xml:space="preserve">and found O. K.      </t>
  </si>
  <si>
    <t>Dy. S.A.(Ch.)                                                    S. A. (Exp.)</t>
  </si>
  <si>
    <t>Ex. Engr. (O&amp;M)                                           Dy. Eng (Tech)</t>
  </si>
  <si>
    <t>Sr No.</t>
  </si>
  <si>
    <t>Unit</t>
  </si>
  <si>
    <t>Quantity executed (or supplied</t>
  </si>
  <si>
    <t>Items of work or supplies</t>
  </si>
  <si>
    <t>Rate</t>
  </si>
  <si>
    <t>Amount</t>
  </si>
  <si>
    <t>Remark</t>
  </si>
  <si>
    <t>(grouped under Sub-heads of</t>
  </si>
  <si>
    <t>Sub-works or estimates)</t>
  </si>
  <si>
    <t>Since</t>
  </si>
  <si>
    <t>Qty</t>
  </si>
  <si>
    <t xml:space="preserve">previous </t>
  </si>
  <si>
    <t xml:space="preserve">executed </t>
  </si>
  <si>
    <t xml:space="preserve">Up to </t>
  </si>
  <si>
    <t>previous</t>
  </si>
  <si>
    <t>executed</t>
  </si>
  <si>
    <t xml:space="preserve">bill total </t>
  </si>
  <si>
    <t xml:space="preserve">in this </t>
  </si>
  <si>
    <t>date</t>
  </si>
  <si>
    <t>bill ARC</t>
  </si>
  <si>
    <t>in this bill</t>
  </si>
  <si>
    <t xml:space="preserve">for each </t>
  </si>
  <si>
    <t>bill total</t>
  </si>
  <si>
    <t>No.</t>
  </si>
  <si>
    <t>Labour Charge for Providing of HT/LT bushing goti if requried</t>
  </si>
  <si>
    <t>Full Rate recommended</t>
  </si>
  <si>
    <t>Replacement of LTbushing goti/ Rubber washer</t>
  </si>
  <si>
    <t>Replacement of HT bushing goti/ Rubber washer</t>
  </si>
  <si>
    <t>Providing of AL. Patta on LT side up to 200 KVA TR if reqired</t>
  </si>
  <si>
    <t>Labour charge of AL. Patta on LT side up to 200 KVA TR if reqired</t>
  </si>
  <si>
    <t>Providing of AL. Patta on LT side up to 500 KVA TR if reqired</t>
  </si>
  <si>
    <t>Labour charge of AL. Patta on LT side up to 500 KVA TR if reqired</t>
  </si>
  <si>
    <t>LS</t>
  </si>
  <si>
    <t>Check and Tight earth connection, if requried provide lugs &amp; nut-bolt to the neutral terminal of TRF and the body terminal of TRF and dist. Box earth</t>
  </si>
  <si>
    <t>Replacement of demage LT cable with new one of right capacity (cable provide by DGVCL)</t>
  </si>
  <si>
    <t>providing of new termination in form of R,Y,B and N core including PVC tape</t>
  </si>
  <si>
    <t>Termination of 25/50/70 Sq mm cable</t>
  </si>
  <si>
    <t>Termination of 300 Sq mm cable</t>
  </si>
  <si>
    <t>Termination of 95/120/150 Sq mm cable</t>
  </si>
  <si>
    <t>Termination of 185 Sq mm cable</t>
  </si>
  <si>
    <t>Termination of 240 Sq mm cable</t>
  </si>
  <si>
    <t>Labour Charge of Termination of 25/50/70/150/185 Sq mm cable</t>
  </si>
  <si>
    <t>Per No.</t>
  </si>
  <si>
    <t>Measurment of Volatage and Ampre</t>
  </si>
  <si>
    <t>check oil leakage from drain off valve/gasket/tank leak etc,Topping of oil to maintain proper oil level (oil provided by DGVCL)</t>
  </si>
  <si>
    <t>Checking and replacement of Kit-Ket fuse if required (Kit-Ket fuse be provided by DGVCL)</t>
  </si>
  <si>
    <t>100 amp Kit-Ket fuse</t>
  </si>
  <si>
    <t>200 amp Kit-Ket fuse</t>
  </si>
  <si>
    <t>Checking and replacement of HRC fuse base if required (HRC fuse base provided by contractor)</t>
  </si>
  <si>
    <t>630 amp HRC fuse base</t>
  </si>
  <si>
    <t>400 amp HRC fuse base</t>
  </si>
  <si>
    <t>250 amp HRC fuse base</t>
  </si>
  <si>
    <t>Labour Charge of HRC fuse Base</t>
  </si>
  <si>
    <t>Checking and replacement of HRC fuse bridge if required (HRC fuse base provided by contractor)</t>
  </si>
  <si>
    <t>630 amp HRC fuse</t>
  </si>
  <si>
    <t xml:space="preserve">400 amp HRC fuse </t>
  </si>
  <si>
    <t xml:space="preserve">250 amp HRC fuse </t>
  </si>
  <si>
    <t>Providing of proper size of fuse element on HT side (on D.O. fuse with cleaning of horns)</t>
  </si>
  <si>
    <t>Labour Charge of fuse element on HT side (on D.O. fuse with cleaning of horns)</t>
  </si>
  <si>
    <t>Providing and replacement of sundry items like nut, bolt, washer etc. of appropriate size.</t>
  </si>
  <si>
    <t>JOB</t>
  </si>
  <si>
    <t>General condition like clean off all dirt and submission location wise performa</t>
  </si>
  <si>
    <t>Supply &amp; Providing of neutral earthing using G.I strip to neutral terminal of X'mer and Dist. Box neutral  earthing (Plate type earthing)</t>
  </si>
  <si>
    <t>Half Stud</t>
  </si>
  <si>
    <t>LT side Brass hlf stud with 2 no brass nut &amp; washer of size 12 mm</t>
  </si>
  <si>
    <t>TOTAL OF PAGE</t>
  </si>
  <si>
    <t xml:space="preserve"> *The second signature is only necessary when the officer who prepared the bill not the officer who makes the payment.</t>
  </si>
  <si>
    <t>FIRST PAGE TOTAL</t>
  </si>
  <si>
    <t>LT side Brass hlf stud with 2 no brass nut &amp; washer of size 20 mm</t>
  </si>
  <si>
    <t>Labour Charge of LT side Brass hlf stud with 2 no brass nut &amp; washer of size 20 mm</t>
  </si>
  <si>
    <t>LT side Brass Nuts and Washer</t>
  </si>
  <si>
    <t>12 mm Brass LT side nuts</t>
  </si>
  <si>
    <t>20 mm Brass LT side nuts</t>
  </si>
  <si>
    <t>30 mm Brass LT side nuts</t>
  </si>
  <si>
    <t>Labour Charge of Brass LT Side nuts</t>
  </si>
  <si>
    <t>12 mm Brass LT side washer</t>
  </si>
  <si>
    <t>20 mm Brass LT side washer</t>
  </si>
  <si>
    <t>30 mm Brass LT side washer</t>
  </si>
  <si>
    <t>Labour Charge of Brass LT Side washer</t>
  </si>
  <si>
    <t>Breather</t>
  </si>
  <si>
    <t>Breather plastic transparent body cast metal cap and bottom, 1/2" thread pipe, 250 grams. ( Dry gel weight 250 gm)</t>
  </si>
  <si>
    <t>Breather plastic transparent body cast metal cap and bottom, 1/2" thread pipe, 500 grams. ( Dry gel weight 500 gm)</t>
  </si>
  <si>
    <t>Labour Charge of Breather plastic transparent body cast metal cap and bottom, 1/2" thread pipe, 250 grams. ( Dry gel weight 250 gm and 500 gm)</t>
  </si>
  <si>
    <t>Total value of work done or supplies made to date (A)….→</t>
  </si>
  <si>
    <t xml:space="preserve">Total </t>
  </si>
  <si>
    <t xml:space="preserve">TOTAL </t>
  </si>
  <si>
    <t>Net Total</t>
  </si>
  <si>
    <t>GST Extra (18%) (1)</t>
  </si>
  <si>
    <t>Round Off 2</t>
  </si>
  <si>
    <t>Grand Total (1+2)</t>
  </si>
  <si>
    <t>REMARKS:-</t>
  </si>
  <si>
    <t>II   CERTIFICATES AND SIGNATURES</t>
  </si>
  <si>
    <t xml:space="preserve"> The measurements were made by __________________________________________on _______________________________________________________and are Recorded at page </t>
  </si>
  <si>
    <t xml:space="preserve">________________ of  measurement  Book  No :_________________________No  advance  payment  hes been made previously  without  detailed  measurments.   </t>
  </si>
  <si>
    <t>____________________%checked  By  me</t>
  </si>
  <si>
    <t xml:space="preserve">Dated  signature of </t>
  </si>
  <si>
    <t>Officer preparing the bill"</t>
  </si>
  <si>
    <t>Dy.Engr./Jr. Engr.</t>
  </si>
  <si>
    <t>Officer  Authorising the bill"</t>
  </si>
  <si>
    <t>Signature of</t>
  </si>
  <si>
    <t>the Contractor</t>
  </si>
  <si>
    <t>III-Memorandum of payments</t>
  </si>
  <si>
    <t>Rs.</t>
  </si>
  <si>
    <t>Ps.</t>
  </si>
  <si>
    <t>1. Total Value of work done. As per Account I, Column 5, entry(A)</t>
  </si>
  <si>
    <t>2. Deduct amount withheld.</t>
  </si>
  <si>
    <t>Figures for</t>
  </si>
  <si>
    <t>Works Abstract</t>
  </si>
  <si>
    <t>(A) From Previous bill as per last Running</t>
  </si>
  <si>
    <t xml:space="preserve">       Account Bill</t>
  </si>
  <si>
    <t>………..</t>
  </si>
  <si>
    <t>(B) From this bill</t>
  </si>
  <si>
    <t>3.  Balance, i.e. 'Up to date' Payments</t>
  </si>
  <si>
    <t>item 1-2) (k)</t>
  </si>
  <si>
    <t>4.  Total amount of payments already made as per entry (K) of last</t>
  </si>
  <si>
    <t xml:space="preserve">      Running Account Bill No.                     Forwarded with accounts for</t>
  </si>
  <si>
    <t>5.  Payments now to be made as detaile below</t>
  </si>
  <si>
    <t xml:space="preserve">      by recovery of amount crditable to</t>
  </si>
  <si>
    <t>[a]} This wo:-</t>
  </si>
  <si>
    <t xml:space="preserve">       Value of stock supplied as detailed in</t>
  </si>
  <si>
    <t xml:space="preserve">       the ledger in </t>
  </si>
  <si>
    <t xml:space="preserve">  Total 2[b] + [a] G</t>
  </si>
  <si>
    <t>[b]} By recovery of amount creditable to</t>
  </si>
  <si>
    <t xml:space="preserve">       other works or heads of account :-</t>
  </si>
  <si>
    <t>[c]} By Cheque</t>
  </si>
  <si>
    <t xml:space="preserve">  Total 5[b] + [a] H</t>
  </si>
  <si>
    <t>Pay Rs. +(                   ) Rupees</t>
  </si>
  <si>
    <t>By Cheque.</t>
  </si>
  <si>
    <t>Sr. Asstt.                         Dy. Supdt.</t>
  </si>
  <si>
    <t>Superintendent (Exp.)</t>
  </si>
  <si>
    <t>Executive Engineer,</t>
  </si>
  <si>
    <t>Received Ry.(         )</t>
  </si>
  <si>
    <t>(Dated initials of Disbursing Officer)</t>
  </si>
  <si>
    <t>On account of this work</t>
  </si>
  <si>
    <t>As per above memorandum</t>
  </si>
  <si>
    <t>Dated</t>
  </si>
  <si>
    <t>Wintness</t>
  </si>
  <si>
    <t>Full Signature of the Contractor</t>
  </si>
  <si>
    <t>Paid by me. Vide cheque No.</t>
  </si>
  <si>
    <t>Cashier</t>
  </si>
  <si>
    <t>(Dated initials or person actually making the payment)</t>
  </si>
  <si>
    <t>IV-Remarks</t>
  </si>
  <si>
    <t>This is space is reserved for any remarks the Disbusing Officer or the Executive Engineer may wish to record is</t>
  </si>
  <si>
    <t>respect of the execution of the works. Check of measurements or the state of Contractor's Accounts)</t>
  </si>
  <si>
    <t>* Here Specify the net amount payable, vide item 5 ©</t>
  </si>
  <si>
    <t>SR NO</t>
  </si>
  <si>
    <t>Date</t>
  </si>
  <si>
    <t>Location of TC</t>
  </si>
  <si>
    <t>TC Serial Number.</t>
  </si>
  <si>
    <t>TC Make</t>
  </si>
  <si>
    <t>TC Capacity</t>
  </si>
  <si>
    <t>Replacement of  bushing goti</t>
  </si>
  <si>
    <t>Providing LT side AL. Patta KVA</t>
  </si>
  <si>
    <t>Check and Tight Earth Connection</t>
  </si>
  <si>
    <t>Replacement of LT damaged cable</t>
  </si>
  <si>
    <t>Providing of termination up to sq mm cable</t>
  </si>
  <si>
    <t xml:space="preserve">Check oil leakage and fill up </t>
  </si>
  <si>
    <t>Fixing of new dist. Box with complete wiring</t>
  </si>
  <si>
    <t>Replacement of LT dist. Box up to 100 KVA</t>
  </si>
  <si>
    <t>Replacement of LT dist. Box above 100 KVA</t>
  </si>
  <si>
    <t>Replacement of HRC Fuse Base</t>
  </si>
  <si>
    <t>Replacement of HRC Fuse Link</t>
  </si>
  <si>
    <t xml:space="preserve">Providing of Fuse elemant (D.O.) </t>
  </si>
  <si>
    <t>Providing of Sundry items (Nut,Bolt,Washer)</t>
  </si>
  <si>
    <t>General Condition</t>
  </si>
  <si>
    <t xml:space="preserve">LT Side Brass Nuts </t>
  </si>
  <si>
    <t xml:space="preserve">LT Side Brass Washer </t>
  </si>
  <si>
    <t xml:space="preserve">Breather </t>
  </si>
  <si>
    <t>HT</t>
  </si>
  <si>
    <t>LT</t>
  </si>
  <si>
    <t>Nos.</t>
  </si>
  <si>
    <t>Circuit 1</t>
  </si>
  <si>
    <t>Circuit 2</t>
  </si>
  <si>
    <t>Ltr</t>
  </si>
  <si>
    <t>12 mm</t>
  </si>
  <si>
    <t>20 mm</t>
  </si>
  <si>
    <t>30 mm</t>
  </si>
  <si>
    <t>250 gm</t>
  </si>
  <si>
    <t>500 gm</t>
  </si>
  <si>
    <t>SHIV ELECTRICALS</t>
  </si>
  <si>
    <t>DIVISION :- ANKLESHWAR INDUSTRIAL DIVISION</t>
  </si>
  <si>
    <t>SUB-DIVISION:- GIDC</t>
  </si>
  <si>
    <t>Above 20 %</t>
  </si>
  <si>
    <t>Above20  %</t>
  </si>
  <si>
    <t xml:space="preserve">Checking and replacement of LT Dist Box if required </t>
  </si>
  <si>
    <t xml:space="preserve">Replacement of detoriarated /providing LT dist. Box with new above to 100 KVA capacity </t>
  </si>
  <si>
    <t xml:space="preserve">Replacement of detoriarated /providing LT dist. Box with new up to 100 KVA capacity </t>
  </si>
  <si>
    <t xml:space="preserve">Fixing of new dist. Box with complete wiring including clamps, nut bolts etc </t>
  </si>
  <si>
    <t>ARC For maintenance of varoius capacity of transformer at various location of GIDC sub division under jurisdiction of ankleshwar ind Division.</t>
  </si>
  <si>
    <t>W.O.No:- DGVCLDANKI/0207/07/2026  DATE:-16-07-2026</t>
  </si>
  <si>
    <t>PO NO. :  59659</t>
  </si>
  <si>
    <t>Compatibility Report for BILL FORM AND GST GIDC SHIV ELE RA-2.xls</t>
  </si>
  <si>
    <t>Run on 10/19/2026 19:20</t>
  </si>
  <si>
    <t>If the workbook is saved in an earlier file format or opened in an earlier version of Microsoft Excel, the listed features will not be available.</t>
  </si>
  <si>
    <t>Minor loss of fidelity</t>
  </si>
  <si>
    <t># of occurrences</t>
  </si>
  <si>
    <t>Version</t>
  </si>
  <si>
    <t>This workbook has workbook link information that will be lost or not visible if the file is saved as an earlier Excel format.</t>
  </si>
  <si>
    <t>Excel 97-2003</t>
  </si>
  <si>
    <t>Excel 2007</t>
  </si>
  <si>
    <t>Excel 2010</t>
  </si>
  <si>
    <t>Excel 2013</t>
  </si>
  <si>
    <t>Excel 2016</t>
  </si>
  <si>
    <t>Excel 2019</t>
  </si>
  <si>
    <t>Excel 2021</t>
  </si>
  <si>
    <t>Serial No. of this Bill-  RA-2</t>
  </si>
  <si>
    <t>RELEASE NO. :2</t>
  </si>
  <si>
    <t>ANKLESHWAR Division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</si>
</sst>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4" x14ac:knownFonts="1">
    <font>
      <sz val="10"/>
      <name val="Arial"/>
      <family val="2"/>
    </font>
    <font>
      <b/>
      <sz val="11"/>
      <name val="Arial"/>
      <family val="2"/>
    </font>
    <font>
      <sz val="11"/>
      <color indexed="8"/>
      <name val="Calibri"/>
      <family val="2"/>
    </font>
    <font>
      <sz val="11"/>
      <name val="Arial"/>
      <family val="2"/>
    </font>
    <font>
      <sz val="11"/>
      <color indexed="8"/>
      <name val="Arial"/>
      <family val="2"/>
    </font>
    <font>
      <sz val="11"/>
      <color indexed="10"/>
      <name val="Arial"/>
      <family val="2"/>
    </font>
    <font>
      <b/>
      <sz val="11"/>
      <color indexed="8"/>
      <name val="Calibri"/>
      <family val="2"/>
    </font>
    <font>
      <sz val="9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b/>
      <sz val="13"/>
      <name val="Arial"/>
      <family val="2"/>
    </font>
    <font>
      <sz val="12"/>
      <name val="Arial"/>
      <family val="2"/>
    </font>
    <font>
      <sz val="13"/>
      <name val="Arial"/>
      <family val="2"/>
    </font>
    <font>
      <sz val="10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Cambria"/>
      <family val="1"/>
      <scheme val="major"/>
    </font>
    <font>
      <sz val="12"/>
      <name val="Cambria"/>
      <family val="1"/>
      <scheme val="major"/>
    </font>
    <font>
      <sz val="13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</borders>
  <cellStyleXfs count="4">
    <xf numFmtId="0" fontId="0" fillId="0" borderId="0"/>
    <xf numFmtId="43" fontId="13" fillId="0" borderId="0" applyFont="0" applyFill="0" applyBorder="0" applyAlignment="0" applyProtection="0"/>
    <xf numFmtId="0" fontId="2" fillId="0" borderId="0"/>
    <xf numFmtId="0" fontId="13" fillId="0" borderId="0"/>
  </cellStyleXfs>
  <cellXfs count="334">
    <xf numFmtId="0" fontId="0" fillId="0" borderId="0" xfId="0"/>
    <xf numFmtId="0" fontId="1" fillId="0" borderId="1" xfId="3" applyFont="1" applyBorder="1" applyAlignment="1">
      <alignment horizontal="center" vertical="center" wrapText="1"/>
    </xf>
    <xf numFmtId="0" fontId="1" fillId="0" borderId="1" xfId="3" applyFont="1" applyBorder="1" applyAlignment="1">
      <alignment horizontal="center" vertical="center" wrapText="1" shrinkToFit="1"/>
    </xf>
    <xf numFmtId="0" fontId="1" fillId="2" borderId="1" xfId="3" applyFont="1" applyFill="1" applyBorder="1" applyAlignment="1">
      <alignment horizontal="center" vertical="center"/>
    </xf>
    <xf numFmtId="1" fontId="1" fillId="2" borderId="1" xfId="3" applyNumberFormat="1" applyFont="1" applyFill="1" applyBorder="1" applyAlignment="1">
      <alignment horizontal="center" vertical="center" wrapText="1"/>
    </xf>
    <xf numFmtId="1" fontId="1" fillId="2" borderId="1" xfId="3" applyNumberFormat="1" applyFont="1" applyFill="1" applyBorder="1" applyAlignment="1">
      <alignment horizontal="center" vertical="center"/>
    </xf>
    <xf numFmtId="0" fontId="2" fillId="2" borderId="1" xfId="2" applyFill="1" applyBorder="1" applyAlignment="1">
      <alignment horizontal="center"/>
    </xf>
    <xf numFmtId="0" fontId="3" fillId="2" borderId="1" xfId="3" applyFont="1" applyFill="1" applyBorder="1" applyAlignment="1">
      <alignment horizontal="center" vertical="center" wrapText="1"/>
    </xf>
    <xf numFmtId="14" fontId="3" fillId="2" borderId="1" xfId="3" applyNumberFormat="1" applyFont="1" applyFill="1" applyBorder="1" applyAlignment="1">
      <alignment horizontal="center" vertical="center" wrapText="1"/>
    </xf>
    <xf numFmtId="0" fontId="20" fillId="2" borderId="1" xfId="3" applyFont="1" applyFill="1" applyBorder="1" applyAlignment="1">
      <alignment horizontal="left" vertical="center" wrapText="1"/>
    </xf>
    <xf numFmtId="0" fontId="3" fillId="2" borderId="1" xfId="3" applyFont="1" applyFill="1" applyBorder="1" applyAlignment="1">
      <alignment horizontal="left" vertical="center"/>
    </xf>
    <xf numFmtId="0" fontId="3" fillId="2" borderId="1" xfId="3" applyFont="1" applyFill="1" applyBorder="1" applyAlignment="1">
      <alignment horizontal="center" vertical="center"/>
    </xf>
    <xf numFmtId="1" fontId="3" fillId="2" borderId="1" xfId="3" applyNumberFormat="1" applyFont="1" applyFill="1" applyBorder="1" applyAlignment="1">
      <alignment horizontal="left" vertical="center"/>
    </xf>
    <xf numFmtId="1" fontId="3" fillId="2" borderId="1" xfId="3" applyNumberFormat="1" applyFont="1" applyFill="1" applyBorder="1" applyAlignment="1">
      <alignment horizontal="center" vertical="center"/>
    </xf>
    <xf numFmtId="1" fontId="20" fillId="2" borderId="1" xfId="3" applyNumberFormat="1" applyFont="1" applyFill="1" applyBorder="1" applyAlignment="1">
      <alignment horizontal="left" vertical="center" wrapText="1"/>
    </xf>
    <xf numFmtId="14" fontId="3" fillId="2" borderId="1" xfId="3" applyNumberFormat="1" applyFont="1" applyFill="1" applyBorder="1" applyAlignment="1">
      <alignment horizontal="center" vertical="center"/>
    </xf>
    <xf numFmtId="1" fontId="20" fillId="2" borderId="1" xfId="3" applyNumberFormat="1" applyFont="1" applyFill="1" applyBorder="1" applyAlignment="1">
      <alignment horizontal="left" vertical="center"/>
    </xf>
    <xf numFmtId="1" fontId="3" fillId="2" borderId="1" xfId="3" applyNumberFormat="1" applyFont="1" applyFill="1" applyBorder="1" applyAlignment="1">
      <alignment horizontal="center" vertical="center" wrapText="1"/>
    </xf>
    <xf numFmtId="0" fontId="20" fillId="2" borderId="1" xfId="3" applyFont="1" applyFill="1" applyBorder="1" applyAlignment="1">
      <alignment horizontal="center" vertical="center"/>
    </xf>
    <xf numFmtId="0" fontId="4" fillId="2" borderId="1" xfId="3" applyFont="1" applyFill="1" applyBorder="1" applyAlignment="1">
      <alignment horizontal="center" vertical="center"/>
    </xf>
    <xf numFmtId="1" fontId="5" fillId="2" borderId="1" xfId="3" applyNumberFormat="1" applyFont="1" applyFill="1" applyBorder="1" applyAlignment="1">
      <alignment horizontal="center" vertical="center"/>
    </xf>
    <xf numFmtId="1" fontId="4" fillId="2" borderId="1" xfId="3" applyNumberFormat="1" applyFont="1" applyFill="1" applyBorder="1" applyAlignment="1">
      <alignment horizontal="center" vertical="center"/>
    </xf>
    <xf numFmtId="0" fontId="1" fillId="0" borderId="1" xfId="3" applyFont="1" applyBorder="1" applyAlignment="1">
      <alignment vertical="center" wrapText="1"/>
    </xf>
    <xf numFmtId="0" fontId="2" fillId="2" borderId="1" xfId="2" applyFill="1" applyBorder="1" applyAlignment="1">
      <alignment horizontal="center" vertical="center"/>
    </xf>
    <xf numFmtId="0" fontId="6" fillId="2" borderId="1" xfId="2" applyFont="1" applyFill="1" applyBorder="1" applyAlignment="1">
      <alignment horizontal="center" vertical="center"/>
    </xf>
    <xf numFmtId="0" fontId="19" fillId="0" borderId="1" xfId="0" applyFont="1" applyBorder="1"/>
    <xf numFmtId="0" fontId="0" fillId="0" borderId="1" xfId="0" applyBorder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0" fontId="7" fillId="0" borderId="2" xfId="0" applyFont="1" applyBorder="1" applyAlignment="1">
      <alignment horizontal="right"/>
    </xf>
    <xf numFmtId="0" fontId="7" fillId="0" borderId="3" xfId="0" applyFont="1" applyBorder="1" applyAlignment="1">
      <alignment horizontal="right"/>
    </xf>
    <xf numFmtId="0" fontId="8" fillId="0" borderId="3" xfId="0" applyFont="1" applyBorder="1" applyAlignment="1">
      <alignment horizontal="center"/>
    </xf>
    <xf numFmtId="0" fontId="7" fillId="0" borderId="4" xfId="0" applyFont="1" applyBorder="1" applyAlignment="1">
      <alignment horizontal="right"/>
    </xf>
    <xf numFmtId="0" fontId="7" fillId="0" borderId="4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7" fillId="0" borderId="6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8" fillId="0" borderId="11" xfId="0" applyFont="1" applyBorder="1" applyAlignment="1">
      <alignment horizontal="center"/>
    </xf>
    <xf numFmtId="0" fontId="7" fillId="0" borderId="2" xfId="0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right"/>
    </xf>
    <xf numFmtId="0" fontId="7" fillId="0" borderId="3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12" xfId="0" applyFont="1" applyBorder="1" applyAlignment="1">
      <alignment horizontal="left"/>
    </xf>
    <xf numFmtId="0" fontId="7" fillId="0" borderId="13" xfId="0" applyFont="1" applyBorder="1" applyAlignment="1">
      <alignment horizontal="right"/>
    </xf>
    <xf numFmtId="0" fontId="7" fillId="0" borderId="13" xfId="0" applyFont="1" applyBorder="1" applyAlignment="1">
      <alignment horizontal="left"/>
    </xf>
    <xf numFmtId="0" fontId="7" fillId="0" borderId="14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10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1" fillId="0" borderId="21" xfId="0" applyFont="1" applyBorder="1"/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 vertical="center" wrapText="1"/>
    </xf>
    <xf numFmtId="0" fontId="11" fillId="0" borderId="23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1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12" fillId="0" borderId="23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3" fillId="0" borderId="24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/>
    </xf>
    <xf numFmtId="1" fontId="3" fillId="0" borderId="22" xfId="0" applyNumberFormat="1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4" xfId="0" applyFont="1" applyBorder="1"/>
    <xf numFmtId="0" fontId="3" fillId="0" borderId="0" xfId="0" applyFont="1"/>
    <xf numFmtId="0" fontId="3" fillId="0" borderId="19" xfId="0" applyFont="1" applyBorder="1"/>
    <xf numFmtId="0" fontId="3" fillId="0" borderId="25" xfId="0" applyFont="1" applyBorder="1"/>
    <xf numFmtId="0" fontId="3" fillId="0" borderId="26" xfId="0" applyFont="1" applyBorder="1"/>
    <xf numFmtId="0" fontId="3" fillId="0" borderId="21" xfId="0" applyFont="1" applyBorder="1"/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13" fillId="0" borderId="4" xfId="0" applyFont="1" applyBorder="1" applyAlignment="1">
      <alignment horizontal="left"/>
    </xf>
    <xf numFmtId="0" fontId="13" fillId="0" borderId="0" xfId="0" applyFont="1" applyAlignment="1">
      <alignment horizontal="left"/>
    </xf>
    <xf numFmtId="2" fontId="3" fillId="0" borderId="0" xfId="0" applyNumberFormat="1" applyFont="1" applyAlignment="1">
      <alignment horizontal="left"/>
    </xf>
    <xf numFmtId="0" fontId="3" fillId="0" borderId="27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1" fillId="0" borderId="0" xfId="0" applyFont="1"/>
    <xf numFmtId="0" fontId="22" fillId="0" borderId="0" xfId="0" applyFont="1" applyAlignment="1">
      <alignment horizontal="center"/>
    </xf>
    <xf numFmtId="0" fontId="12" fillId="0" borderId="4" xfId="0" applyFont="1" applyBorder="1" applyAlignment="1">
      <alignment horizontal="center"/>
    </xf>
    <xf numFmtId="0" fontId="23" fillId="0" borderId="0" xfId="0" applyFont="1" applyAlignment="1">
      <alignment wrapText="1"/>
    </xf>
    <xf numFmtId="0" fontId="12" fillId="0" borderId="0" xfId="0" applyFont="1" applyAlignment="1">
      <alignment horizontal="center"/>
    </xf>
    <xf numFmtId="0" fontId="23" fillId="0" borderId="0" xfId="0" applyFont="1" applyAlignment="1">
      <alignment vertical="center" wrapText="1"/>
    </xf>
    <xf numFmtId="0" fontId="12" fillId="0" borderId="0" xfId="0" applyFont="1" applyAlignment="1">
      <alignment horizontal="right"/>
    </xf>
    <xf numFmtId="0" fontId="23" fillId="0" borderId="0" xfId="0" applyFont="1"/>
    <xf numFmtId="0" fontId="10" fillId="0" borderId="28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/>
    </xf>
    <xf numFmtId="0" fontId="1" fillId="0" borderId="22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/>
    </xf>
    <xf numFmtId="0" fontId="1" fillId="0" borderId="33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2" fontId="3" fillId="0" borderId="34" xfId="0" applyNumberFormat="1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2" fontId="11" fillId="0" borderId="1" xfId="0" applyNumberFormat="1" applyFont="1" applyBorder="1" applyAlignment="1">
      <alignment vertical="center"/>
    </xf>
    <xf numFmtId="2" fontId="11" fillId="0" borderId="35" xfId="0" applyNumberFormat="1" applyFont="1" applyBorder="1" applyAlignment="1">
      <alignment vertical="center"/>
    </xf>
    <xf numFmtId="2" fontId="11" fillId="0" borderId="1" xfId="0" applyNumberFormat="1" applyFont="1" applyBorder="1"/>
    <xf numFmtId="2" fontId="11" fillId="0" borderId="35" xfId="0" applyNumberFormat="1" applyFont="1" applyBorder="1"/>
    <xf numFmtId="0" fontId="3" fillId="0" borderId="1" xfId="0" applyFont="1" applyBorder="1"/>
    <xf numFmtId="2" fontId="8" fillId="0" borderId="1" xfId="1" applyNumberFormat="1" applyFont="1" applyBorder="1" applyAlignment="1">
      <alignment vertical="center"/>
    </xf>
    <xf numFmtId="2" fontId="8" fillId="0" borderId="35" xfId="1" applyNumberFormat="1" applyFont="1" applyBorder="1" applyAlignment="1">
      <alignment vertical="center"/>
    </xf>
    <xf numFmtId="0" fontId="12" fillId="0" borderId="35" xfId="0" applyFont="1" applyBorder="1" applyAlignment="1">
      <alignment vertical="center"/>
    </xf>
    <xf numFmtId="0" fontId="3" fillId="0" borderId="33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12" fillId="0" borderId="38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2" fillId="0" borderId="0" xfId="0" applyFont="1"/>
    <xf numFmtId="0" fontId="12" fillId="0" borderId="4" xfId="0" applyFont="1" applyBorder="1" applyAlignment="1">
      <alignment horizontal="left" vertical="top"/>
    </xf>
    <xf numFmtId="0" fontId="12" fillId="0" borderId="0" xfId="0" applyFont="1" applyAlignment="1">
      <alignment horizontal="left" vertical="top"/>
    </xf>
    <xf numFmtId="0" fontId="12" fillId="0" borderId="10" xfId="0" applyFont="1" applyBorder="1" applyAlignment="1">
      <alignment horizontal="center"/>
    </xf>
    <xf numFmtId="0" fontId="23" fillId="0" borderId="9" xfId="0" applyFont="1" applyBorder="1" applyAlignment="1">
      <alignment wrapText="1"/>
    </xf>
    <xf numFmtId="0" fontId="12" fillId="0" borderId="9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/>
    </xf>
    <xf numFmtId="0" fontId="12" fillId="0" borderId="9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10" fillId="0" borderId="18" xfId="0" applyFont="1" applyBorder="1"/>
    <xf numFmtId="0" fontId="10" fillId="0" borderId="19" xfId="0" applyFont="1" applyBorder="1"/>
    <xf numFmtId="0" fontId="10" fillId="0" borderId="20" xfId="0" applyFont="1" applyBorder="1"/>
    <xf numFmtId="0" fontId="10" fillId="0" borderId="21" xfId="0" applyFont="1" applyBorder="1"/>
    <xf numFmtId="0" fontId="10" fillId="0" borderId="22" xfId="0" applyFont="1" applyBorder="1" applyAlignment="1">
      <alignment horizontal="center"/>
    </xf>
    <xf numFmtId="0" fontId="11" fillId="0" borderId="23" xfId="0" applyFont="1" applyBorder="1" applyAlignment="1">
      <alignment horizontal="right" vertical="center"/>
    </xf>
    <xf numFmtId="0" fontId="11" fillId="0" borderId="1" xfId="0" applyFont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vertical="center"/>
    </xf>
    <xf numFmtId="0" fontId="22" fillId="0" borderId="1" xfId="0" applyFont="1" applyBorder="1"/>
    <xf numFmtId="0" fontId="11" fillId="0" borderId="23" xfId="0" applyFont="1" applyBorder="1" applyAlignment="1">
      <alignment horizontal="right" vertical="center" wrapText="1"/>
    </xf>
    <xf numFmtId="0" fontId="11" fillId="0" borderId="1" xfId="0" applyFont="1" applyBorder="1" applyAlignment="1">
      <alignment horizontal="center" wrapText="1"/>
    </xf>
    <xf numFmtId="0" fontId="22" fillId="0" borderId="1" xfId="0" applyFont="1" applyBorder="1" applyAlignment="1">
      <alignment vertical="center" wrapText="1"/>
    </xf>
    <xf numFmtId="0" fontId="22" fillId="0" borderId="1" xfId="0" applyFont="1" applyBorder="1" applyAlignment="1">
      <alignment wrapText="1"/>
    </xf>
    <xf numFmtId="0" fontId="3" fillId="0" borderId="23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wrapText="1"/>
    </xf>
    <xf numFmtId="0" fontId="3" fillId="0" borderId="23" xfId="0" applyFont="1" applyBorder="1" applyAlignment="1">
      <alignment horizontal="right" vertical="center"/>
    </xf>
    <xf numFmtId="0" fontId="22" fillId="0" borderId="0" xfId="0" applyFont="1" applyAlignment="1">
      <alignment wrapText="1"/>
    </xf>
    <xf numFmtId="0" fontId="11" fillId="0" borderId="0" xfId="0" applyFont="1"/>
    <xf numFmtId="0" fontId="3" fillId="0" borderId="4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7" fillId="0" borderId="10" xfId="0" applyFont="1" applyBorder="1" applyAlignment="1">
      <alignment horizontal="center"/>
    </xf>
    <xf numFmtId="0" fontId="21" fillId="0" borderId="0" xfId="0" applyFont="1" applyAlignment="1">
      <alignment wrapText="1"/>
    </xf>
    <xf numFmtId="0" fontId="21" fillId="0" borderId="9" xfId="0" applyFont="1" applyBorder="1" applyAlignment="1">
      <alignment wrapText="1"/>
    </xf>
    <xf numFmtId="0" fontId="10" fillId="0" borderId="31" xfId="0" applyFont="1" applyBorder="1" applyAlignment="1">
      <alignment horizontal="center"/>
    </xf>
    <xf numFmtId="0" fontId="10" fillId="0" borderId="22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/>
    </xf>
    <xf numFmtId="2" fontId="11" fillId="0" borderId="1" xfId="0" applyNumberFormat="1" applyFont="1" applyBorder="1" applyAlignment="1">
      <alignment horizontal="center" vertical="center"/>
    </xf>
    <xf numFmtId="0" fontId="11" fillId="0" borderId="35" xfId="0" applyFont="1" applyBorder="1" applyAlignment="1">
      <alignment horizontal="center" vertical="center" wrapText="1"/>
    </xf>
    <xf numFmtId="0" fontId="11" fillId="0" borderId="1" xfId="0" applyFont="1" applyBorder="1"/>
    <xf numFmtId="0" fontId="8" fillId="0" borderId="35" xfId="0" applyFont="1" applyBorder="1" applyAlignment="1">
      <alignment vertical="center"/>
    </xf>
    <xf numFmtId="0" fontId="11" fillId="0" borderId="35" xfId="0" applyFont="1" applyBorder="1" applyAlignment="1">
      <alignment horizontal="center"/>
    </xf>
    <xf numFmtId="0" fontId="22" fillId="0" borderId="35" xfId="0" applyFont="1" applyBorder="1" applyAlignment="1">
      <alignment wrapText="1"/>
    </xf>
    <xf numFmtId="0" fontId="22" fillId="0" borderId="39" xfId="0" applyFont="1" applyBorder="1" applyAlignment="1">
      <alignment wrapText="1"/>
    </xf>
    <xf numFmtId="0" fontId="22" fillId="0" borderId="40" xfId="0" applyFont="1" applyBorder="1" applyAlignment="1">
      <alignment wrapText="1"/>
    </xf>
    <xf numFmtId="0" fontId="3" fillId="0" borderId="29" xfId="0" applyFont="1" applyBorder="1" applyAlignment="1">
      <alignment horizontal="center"/>
    </xf>
    <xf numFmtId="2" fontId="3" fillId="0" borderId="29" xfId="0" applyNumberFormat="1" applyFont="1" applyBorder="1" applyAlignment="1">
      <alignment horizontal="center" vertical="center"/>
    </xf>
    <xf numFmtId="0" fontId="11" fillId="0" borderId="29" xfId="0" applyFont="1" applyBorder="1" applyAlignment="1">
      <alignment horizontal="center"/>
    </xf>
    <xf numFmtId="0" fontId="11" fillId="0" borderId="41" xfId="0" applyFont="1" applyBorder="1" applyAlignment="1">
      <alignment horizontal="center"/>
    </xf>
    <xf numFmtId="0" fontId="3" fillId="0" borderId="13" xfId="0" applyFont="1" applyBorder="1" applyAlignment="1">
      <alignment horizontal="left" vertical="top"/>
    </xf>
    <xf numFmtId="0" fontId="3" fillId="0" borderId="9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7" fillId="0" borderId="0" xfId="0" applyFont="1"/>
    <xf numFmtId="0" fontId="16" fillId="0" borderId="1" xfId="0" applyFont="1" applyBorder="1" applyAlignment="1">
      <alignment horizontal="center" vertical="center"/>
    </xf>
    <xf numFmtId="0" fontId="7" fillId="0" borderId="42" xfId="0" applyFont="1" applyBorder="1"/>
    <xf numFmtId="0" fontId="16" fillId="0" borderId="39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/>
    </xf>
    <xf numFmtId="0" fontId="16" fillId="0" borderId="39" xfId="0" applyFont="1" applyBorder="1" applyAlignment="1">
      <alignment horizontal="center"/>
    </xf>
    <xf numFmtId="0" fontId="7" fillId="0" borderId="16" xfId="0" applyFont="1" applyBorder="1"/>
    <xf numFmtId="0" fontId="17" fillId="0" borderId="16" xfId="0" applyFont="1" applyBorder="1"/>
    <xf numFmtId="0" fontId="17" fillId="0" borderId="22" xfId="0" applyFont="1" applyBorder="1"/>
    <xf numFmtId="0" fontId="17" fillId="0" borderId="16" xfId="0" applyFont="1" applyBorder="1" applyAlignment="1">
      <alignment horizontal="center"/>
    </xf>
    <xf numFmtId="0" fontId="7" fillId="0" borderId="39" xfId="0" applyFont="1" applyBorder="1"/>
    <xf numFmtId="0" fontId="8" fillId="0" borderId="16" xfId="0" applyFont="1" applyBorder="1"/>
    <xf numFmtId="0" fontId="9" fillId="0" borderId="16" xfId="0" applyFont="1" applyBorder="1"/>
    <xf numFmtId="0" fontId="18" fillId="0" borderId="16" xfId="0" applyFont="1" applyBorder="1"/>
    <xf numFmtId="14" fontId="9" fillId="0" borderId="39" xfId="0" applyNumberFormat="1" applyFont="1" applyBorder="1"/>
    <xf numFmtId="14" fontId="9" fillId="0" borderId="16" xfId="0" applyNumberFormat="1" applyFont="1" applyBorder="1"/>
    <xf numFmtId="0" fontId="13" fillId="0" borderId="0" xfId="0" applyFont="1"/>
    <xf numFmtId="0" fontId="17" fillId="0" borderId="16" xfId="0" applyFont="1" applyBorder="1" applyAlignment="1">
      <alignment horizontal="right"/>
    </xf>
    <xf numFmtId="0" fontId="13" fillId="0" borderId="16" xfId="0" applyFont="1" applyBorder="1"/>
    <xf numFmtId="0" fontId="13" fillId="0" borderId="26" xfId="0" applyFont="1" applyBorder="1"/>
    <xf numFmtId="0" fontId="17" fillId="0" borderId="22" xfId="0" applyFont="1" applyBorder="1" applyAlignment="1">
      <alignment horizontal="right"/>
    </xf>
    <xf numFmtId="1" fontId="22" fillId="0" borderId="1" xfId="0" applyNumberFormat="1" applyFont="1" applyBorder="1" applyAlignment="1">
      <alignment horizontal="center" vertical="center"/>
    </xf>
    <xf numFmtId="0" fontId="17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62" xfId="0" applyBorder="1" applyAlignment="1">
      <alignment vertical="top" wrapText="1"/>
    </xf>
    <xf numFmtId="0" fontId="0" fillId="0" borderId="61" xfId="0" applyBorder="1" applyAlignment="1">
      <alignment vertical="top" wrapText="1"/>
    </xf>
    <xf numFmtId="0" fontId="0" fillId="0" borderId="59" xfId="0" applyBorder="1" applyAlignment="1">
      <alignment vertical="top" wrapText="1"/>
    </xf>
    <xf numFmtId="0" fontId="0" fillId="0" borderId="65" xfId="0" applyBorder="1" applyAlignment="1">
      <alignment vertical="top" wrapText="1"/>
    </xf>
    <xf numFmtId="0" fontId="0" fillId="0" borderId="64" xfId="0" applyBorder="1" applyAlignment="1">
      <alignment vertical="top" wrapText="1"/>
    </xf>
    <xf numFmtId="0" fontId="17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61" xfId="0" applyBorder="1" applyAlignment="1">
      <alignment horizontal="center" vertical="top" wrapText="1"/>
    </xf>
    <xf numFmtId="0" fontId="0" fillId="0" borderId="63" xfId="0" applyBorder="1" applyAlignment="1">
      <alignment horizontal="center" vertical="top" wrapText="1"/>
    </xf>
    <xf numFmtId="0" fontId="0" fillId="0" borderId="60" xfId="0" applyBorder="1" applyAlignment="1">
      <alignment horizontal="center" vertical="top" wrapText="1"/>
    </xf>
    <xf numFmtId="0" fontId="0" fillId="0" borderId="64" xfId="0" applyBorder="1" applyAlignment="1">
      <alignment horizontal="center" vertical="top" wrapText="1"/>
    </xf>
    <xf numFmtId="0" fontId="0" fillId="0" borderId="66" xfId="0" applyBorder="1" applyAlignment="1">
      <alignment horizontal="center" vertical="top" wrapText="1"/>
    </xf>
    <xf numFmtId="0" fontId="0" fillId="0" borderId="16" xfId="0" applyBorder="1" applyAlignment="1">
      <alignment horizontal="left" vertical="top" wrapText="1"/>
    </xf>
    <xf numFmtId="0" fontId="13" fillId="0" borderId="1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center" wrapText="1"/>
    </xf>
    <xf numFmtId="0" fontId="10" fillId="0" borderId="50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51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52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53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 wrapText="1"/>
    </xf>
    <xf numFmtId="0" fontId="10" fillId="0" borderId="44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45" xfId="0" applyFont="1" applyBorder="1" applyAlignment="1">
      <alignment horizontal="center" vertical="center" wrapText="1"/>
    </xf>
    <xf numFmtId="0" fontId="10" fillId="0" borderId="46" xfId="0" applyFont="1" applyBorder="1" applyAlignment="1">
      <alignment horizontal="center" vertical="center" wrapText="1"/>
    </xf>
    <xf numFmtId="0" fontId="10" fillId="0" borderId="43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44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15" fillId="0" borderId="1" xfId="2" applyFont="1" applyBorder="1" applyAlignment="1">
      <alignment horizontal="left" vertical="center" wrapText="1"/>
    </xf>
    <xf numFmtId="0" fontId="14" fillId="0" borderId="1" xfId="2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48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 wrapText="1"/>
    </xf>
    <xf numFmtId="0" fontId="11" fillId="0" borderId="47" xfId="0" applyFont="1" applyBorder="1" applyAlignment="1">
      <alignment horizontal="left" vertical="center" wrapText="1"/>
    </xf>
    <xf numFmtId="0" fontId="11" fillId="0" borderId="34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11" fillId="0" borderId="47" xfId="0" applyFont="1" applyBorder="1" applyAlignment="1">
      <alignment vertical="center" wrapText="1"/>
    </xf>
    <xf numFmtId="0" fontId="11" fillId="0" borderId="34" xfId="0" applyFont="1" applyBorder="1" applyAlignment="1">
      <alignment vertical="center" wrapText="1"/>
    </xf>
    <xf numFmtId="0" fontId="11" fillId="2" borderId="1" xfId="0" applyFont="1" applyFill="1" applyBorder="1" applyAlignment="1">
      <alignment horizontal="left" vertical="top" wrapText="1"/>
    </xf>
    <xf numFmtId="0" fontId="10" fillId="0" borderId="43" xfId="0" applyFont="1" applyBorder="1" applyAlignment="1">
      <alignment horizontal="center"/>
    </xf>
    <xf numFmtId="0" fontId="10" fillId="0" borderId="44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10" fillId="0" borderId="45" xfId="0" applyFont="1" applyBorder="1" applyAlignment="1">
      <alignment horizontal="center"/>
    </xf>
    <xf numFmtId="0" fontId="10" fillId="0" borderId="46" xfId="0" applyFont="1" applyBorder="1" applyAlignment="1">
      <alignment horizontal="center"/>
    </xf>
    <xf numFmtId="0" fontId="1" fillId="0" borderId="47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1" fillId="2" borderId="47" xfId="0" applyFont="1" applyFill="1" applyBorder="1" applyAlignment="1">
      <alignment horizontal="left" vertical="top" wrapText="1"/>
    </xf>
    <xf numFmtId="0" fontId="11" fillId="2" borderId="34" xfId="0" applyFont="1" applyFill="1" applyBorder="1" applyAlignment="1">
      <alignment horizontal="left" vertical="top" wrapText="1"/>
    </xf>
    <xf numFmtId="0" fontId="23" fillId="0" borderId="4" xfId="0" applyFont="1" applyBorder="1" applyAlignment="1">
      <alignment horizontal="left"/>
    </xf>
    <xf numFmtId="0" fontId="23" fillId="0" borderId="0" xfId="0" applyFont="1" applyAlignment="1">
      <alignment horizontal="left"/>
    </xf>
    <xf numFmtId="0" fontId="23" fillId="0" borderId="13" xfId="0" applyFont="1" applyBorder="1" applyAlignment="1">
      <alignment horizontal="left"/>
    </xf>
    <xf numFmtId="0" fontId="23" fillId="0" borderId="0" xfId="0" applyFont="1" applyAlignment="1">
      <alignment horizontal="left" vertical="center"/>
    </xf>
    <xf numFmtId="0" fontId="3" fillId="0" borderId="40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10" fillId="0" borderId="55" xfId="0" applyFont="1" applyBorder="1" applyAlignment="1">
      <alignment horizontal="left" vertical="center"/>
    </xf>
    <xf numFmtId="0" fontId="10" fillId="0" borderId="56" xfId="0" applyFont="1" applyBorder="1" applyAlignment="1">
      <alignment horizontal="left" vertical="center"/>
    </xf>
    <xf numFmtId="0" fontId="10" fillId="0" borderId="33" xfId="0" applyFont="1" applyBorder="1" applyAlignment="1">
      <alignment horizontal="left" vertical="center"/>
    </xf>
    <xf numFmtId="0" fontId="13" fillId="0" borderId="4" xfId="0" applyFont="1" applyBorder="1" applyAlignment="1">
      <alignment horizontal="left"/>
    </xf>
    <xf numFmtId="0" fontId="13" fillId="0" borderId="0" xfId="0" applyFont="1" applyAlignment="1">
      <alignment horizontal="left"/>
    </xf>
    <xf numFmtId="0" fontId="23" fillId="0" borderId="57" xfId="0" applyFont="1" applyBorder="1" applyAlignment="1">
      <alignment horizontal="center" vertical="center" wrapText="1"/>
    </xf>
    <xf numFmtId="0" fontId="23" fillId="0" borderId="58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left" wrapText="1"/>
    </xf>
    <xf numFmtId="0" fontId="23" fillId="0" borderId="0" xfId="0" applyFont="1" applyAlignment="1">
      <alignment horizontal="left" wrapText="1"/>
    </xf>
    <xf numFmtId="0" fontId="23" fillId="0" borderId="13" xfId="0" applyFont="1" applyBorder="1" applyAlignment="1">
      <alignment horizontal="left" wrapText="1"/>
    </xf>
    <xf numFmtId="0" fontId="3" fillId="0" borderId="1" xfId="0" applyFont="1" applyBorder="1" applyAlignment="1">
      <alignment vertical="center" wrapText="1"/>
    </xf>
    <xf numFmtId="0" fontId="11" fillId="0" borderId="24" xfId="0" applyFont="1" applyBorder="1" applyAlignment="1">
      <alignment horizontal="left" vertical="center"/>
    </xf>
    <xf numFmtId="0" fontId="11" fillId="0" borderId="22" xfId="0" applyFont="1" applyBorder="1" applyAlignment="1">
      <alignment horizontal="left" vertical="center"/>
    </xf>
    <xf numFmtId="0" fontId="3" fillId="0" borderId="22" xfId="0" applyFont="1" applyBorder="1" applyAlignment="1">
      <alignment horizontal="center" vertical="center"/>
    </xf>
    <xf numFmtId="2" fontId="3" fillId="0" borderId="47" xfId="0" applyNumberFormat="1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2" fontId="3" fillId="0" borderId="20" xfId="0" applyNumberFormat="1" applyFont="1" applyBorder="1" applyAlignment="1">
      <alignment horizontal="center" vertical="center"/>
    </xf>
    <xf numFmtId="2" fontId="3" fillId="0" borderId="54" xfId="0" applyNumberFormat="1" applyFont="1" applyBorder="1" applyAlignment="1">
      <alignment horizontal="center" vertical="center"/>
    </xf>
    <xf numFmtId="0" fontId="11" fillId="0" borderId="55" xfId="0" applyFont="1" applyBorder="1" applyAlignment="1">
      <alignment horizontal="left" vertical="center"/>
    </xf>
    <xf numFmtId="0" fontId="11" fillId="0" borderId="56" xfId="0" applyFont="1" applyBorder="1" applyAlignment="1">
      <alignment horizontal="left" vertical="center"/>
    </xf>
    <xf numFmtId="0" fontId="11" fillId="0" borderId="34" xfId="0" applyFont="1" applyBorder="1" applyAlignment="1">
      <alignment horizontal="left" vertical="center"/>
    </xf>
    <xf numFmtId="0" fontId="3" fillId="0" borderId="47" xfId="0" applyFont="1" applyBorder="1" applyAlignment="1">
      <alignment horizontal="center" vertical="center"/>
    </xf>
    <xf numFmtId="0" fontId="3" fillId="0" borderId="56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2" fontId="3" fillId="0" borderId="33" xfId="0" applyNumberFormat="1" applyFont="1" applyBorder="1" applyAlignment="1">
      <alignment horizontal="center" vertical="center"/>
    </xf>
    <xf numFmtId="0" fontId="11" fillId="0" borderId="23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3" fillId="0" borderId="47" xfId="0" applyFont="1" applyBorder="1" applyAlignment="1">
      <alignment horizontal="center"/>
    </xf>
    <xf numFmtId="0" fontId="3" fillId="0" borderId="56" xfId="0" applyFont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/>
    </xf>
    <xf numFmtId="0" fontId="1" fillId="0" borderId="56" xfId="0" applyFont="1" applyBorder="1" applyAlignment="1">
      <alignment horizontal="center" vertical="center"/>
    </xf>
    <xf numFmtId="0" fontId="11" fillId="0" borderId="47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47" xfId="0" applyFont="1" applyFill="1" applyBorder="1" applyAlignment="1">
      <alignment horizontal="left" vertical="center" wrapText="1"/>
    </xf>
    <xf numFmtId="0" fontId="3" fillId="2" borderId="34" xfId="0" applyFont="1" applyFill="1" applyBorder="1" applyAlignment="1">
      <alignment horizontal="left" vertical="center" wrapText="1"/>
    </xf>
    <xf numFmtId="0" fontId="1" fillId="2" borderId="47" xfId="0" applyFont="1" applyFill="1" applyBorder="1" applyAlignment="1">
      <alignment horizontal="center" vertical="top" wrapText="1"/>
    </xf>
    <xf numFmtId="0" fontId="1" fillId="2" borderId="34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47" xfId="0" applyFont="1" applyFill="1" applyBorder="1" applyAlignment="1">
      <alignment horizontal="left" vertical="center" wrapText="1"/>
    </xf>
    <xf numFmtId="0" fontId="1" fillId="0" borderId="9" xfId="0" applyFont="1" applyBorder="1" applyAlignment="1">
      <alignment horizontal="center"/>
    </xf>
    <xf numFmtId="0" fontId="2" fillId="2" borderId="1" xfId="2" applyFill="1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34" xfId="0" applyBorder="1" applyAlignment="1">
      <alignment horizontal="center"/>
    </xf>
    <xf numFmtId="0" fontId="1" fillId="0" borderId="1" xfId="3" applyFont="1" applyBorder="1" applyAlignment="1">
      <alignment horizontal="center" vertical="center" wrapText="1"/>
    </xf>
    <xf numFmtId="0" fontId="2" fillId="2" borderId="47" xfId="2" applyFill="1" applyBorder="1" applyAlignment="1">
      <alignment horizontal="center"/>
    </xf>
    <xf numFmtId="0" fontId="2" fillId="2" borderId="56" xfId="2" applyFill="1" applyBorder="1" applyAlignment="1">
      <alignment horizontal="center"/>
    </xf>
    <xf numFmtId="0" fontId="2" fillId="2" borderId="34" xfId="2" applyFill="1" applyBorder="1" applyAlignment="1">
      <alignment horizontal="center"/>
    </xf>
    <xf numFmtId="0" fontId="1" fillId="0" borderId="1" xfId="3" applyFont="1" applyBorder="1" applyAlignment="1">
      <alignment horizontal="center" vertical="center" wrapText="1" shrinkToFit="1"/>
    </xf>
  </cellXfs>
  <cellStyles count="4">
    <cellStyle name="Comma" xfId="1" builtinId="3"/>
    <cellStyle name="Normal" xfId="0" builtinId="0"/>
    <cellStyle name="Normal 2 2" xfId="2" xr:uid="{133671CA-990A-42D0-92AC-D243D64B8F4B}"/>
    <cellStyle name="Normal 3" xfId="3" xr:uid="{FDF000F1-8970-4F5C-8AB4-A93418C1A96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252730</xdr:colOff>
      <xdr:row>35</xdr:row>
      <xdr:rowOff>124460</xdr:rowOff>
    </xdr:from>
    <xdr:to>
      <xdr:col>14</xdr:col>
      <xdr:colOff>117597</xdr:colOff>
      <xdr:row>38</xdr:row>
      <xdr:rowOff>38100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D2F6AF7-C26F-983D-765D-165B9355984A}"/>
            </a:ext>
          </a:extLst>
        </xdr:cNvPr>
        <xdr:cNvSpPr>
          <a:spLocks noChangeArrowheads="1"/>
        </xdr:cNvSpPr>
      </xdr:nvSpPr>
      <xdr:spPr>
        <a:xfrm flipV="1">
          <a:off x="5102860" y="7171055"/>
          <a:ext cx="655955" cy="52133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  <xdr:txBody>
        <a:bodyPr vertOverflow="clip" wrap="square" lIns="27432" tIns="22860" rIns="0" bIns="0" anchor="t" upright="1"/>
        <a:lstStyle/>
        <a:p>
          <a:pPr algn="ctr" rtl="1">
            <a:defRPr sz="1000"/>
          </a:pPr>
          <a:endParaRPr lang="en-IN" sz="1000" b="0" i="0" strike="noStrike">
            <a:solidFill>
              <a:srgbClr val="000000"/>
            </a:solidFill>
            <a:latin typeface="Arial" panose="020B0604020202020204"/>
            <a:cs typeface="Arial" panose="020B0604020202020204"/>
          </a:endParaRPr>
        </a:p>
        <a:p>
          <a:pPr algn="ctr" rtl="1">
            <a:defRPr sz="1000"/>
          </a:pPr>
          <a:r>
            <a:rPr lang="en-IN" sz="1000" b="0" i="0" strike="noStrike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Stamp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OneDrive\Desktop\work\TC%20MAINT\ANKLESHWAR%20GIDC%202026-27\GIDC%20SDN\RA%202\RA%202.xlsx" TargetMode="External"/><Relationship Id="rId1" Type="http://schemas.openxmlformats.org/officeDocument/2006/relationships/externalLinkPath" Target="RA%20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f88a0b687f1231f9/work/TC%20MAINT/ANKLESHWAR%20GIDC%202026-27/GIDC%20SDN/GIDC%20%20INVENTERY%20SHIV%20E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82">
          <cell r="G182">
            <v>72</v>
          </cell>
          <cell r="H182">
            <v>14</v>
          </cell>
          <cell r="I182">
            <v>204</v>
          </cell>
          <cell r="J182">
            <v>166</v>
          </cell>
          <cell r="K182">
            <v>8</v>
          </cell>
          <cell r="L182">
            <v>178</v>
          </cell>
          <cell r="M182">
            <v>96</v>
          </cell>
          <cell r="P182">
            <v>178</v>
          </cell>
          <cell r="Q182">
            <v>1119</v>
          </cell>
          <cell r="R182">
            <v>687</v>
          </cell>
          <cell r="S182">
            <v>353</v>
          </cell>
          <cell r="U182">
            <v>178</v>
          </cell>
          <cell r="W182">
            <v>127</v>
          </cell>
          <cell r="Z182">
            <v>88</v>
          </cell>
          <cell r="AA182">
            <v>174</v>
          </cell>
          <cell r="AB182">
            <v>280</v>
          </cell>
          <cell r="AC182">
            <v>88</v>
          </cell>
          <cell r="AD182">
            <v>174</v>
          </cell>
          <cell r="AE182">
            <v>282</v>
          </cell>
          <cell r="AF182">
            <v>531</v>
          </cell>
          <cell r="AG182">
            <v>178</v>
          </cell>
          <cell r="AH182">
            <v>178</v>
          </cell>
          <cell r="AI182">
            <v>369</v>
          </cell>
          <cell r="AJ182">
            <v>272</v>
          </cell>
          <cell r="AK182">
            <v>12</v>
          </cell>
          <cell r="AL182">
            <v>213</v>
          </cell>
          <cell r="AM182">
            <v>284</v>
          </cell>
          <cell r="AO182">
            <v>63</v>
          </cell>
          <cell r="AP182">
            <v>8</v>
          </cell>
          <cell r="AQ182">
            <v>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29">
          <cell r="V129">
            <v>0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DBF41-92AC-4F61-87D6-672B4DE2F2E7}">
  <dimension ref="B1:D72"/>
  <sheetViews>
    <sheetView view="pageBreakPreview" topLeftCell="A28" zoomScaleNormal="90" zoomScaleSheetLayoutView="100" workbookViewId="0">
      <selection activeCell="B47" sqref="B47"/>
    </sheetView>
  </sheetViews>
  <sheetFormatPr defaultRowHeight="12" x14ac:dyDescent="0.2"/>
  <cols>
    <col min="1" max="1" width="3.28515625" style="190" customWidth="1"/>
    <col min="2" max="2" width="53" style="190" customWidth="1"/>
    <col min="3" max="3" width="1.28515625" style="190" customWidth="1"/>
    <col min="4" max="4" width="60.85546875" style="190" customWidth="1"/>
    <col min="5" max="5" width="9.140625" style="190" bestFit="1"/>
    <col min="6" max="16384" width="9.140625" style="190"/>
  </cols>
  <sheetData>
    <row r="1" spans="2:4" ht="39" customHeight="1" x14ac:dyDescent="0.2">
      <c r="B1" s="191" t="s">
        <v>0</v>
      </c>
      <c r="C1" s="192"/>
      <c r="D1" s="193" t="s">
        <v>1</v>
      </c>
    </row>
    <row r="2" spans="2:4" ht="15.6" customHeight="1" x14ac:dyDescent="0.25">
      <c r="B2" s="194"/>
      <c r="D2" s="195"/>
    </row>
    <row r="3" spans="2:4" ht="15.6" customHeight="1" x14ac:dyDescent="0.2">
      <c r="B3" s="196" t="s">
        <v>2</v>
      </c>
      <c r="D3" s="196"/>
    </row>
    <row r="4" spans="2:4" ht="15.6" customHeight="1" x14ac:dyDescent="0.2">
      <c r="B4" s="196" t="s">
        <v>3</v>
      </c>
      <c r="D4" s="196"/>
    </row>
    <row r="5" spans="2:4" ht="15.6" customHeight="1" x14ac:dyDescent="0.2">
      <c r="B5" s="196"/>
      <c r="D5" s="197" t="s">
        <v>230</v>
      </c>
    </row>
    <row r="6" spans="2:4" ht="15.6" customHeight="1" x14ac:dyDescent="0.2">
      <c r="B6" s="196" t="s">
        <v>4</v>
      </c>
      <c r="D6" s="196"/>
    </row>
    <row r="7" spans="2:4" ht="15.6" customHeight="1" x14ac:dyDescent="0.2">
      <c r="B7" s="196" t="s">
        <v>5</v>
      </c>
      <c r="D7" s="196"/>
    </row>
    <row r="8" spans="2:4" ht="15.6" customHeight="1" x14ac:dyDescent="0.2">
      <c r="B8" s="196"/>
      <c r="D8" s="197" t="s">
        <v>231</v>
      </c>
    </row>
    <row r="9" spans="2:4" ht="15.6" customHeight="1" x14ac:dyDescent="0.2">
      <c r="B9" s="196" t="s">
        <v>6</v>
      </c>
      <c r="D9" s="196"/>
    </row>
    <row r="10" spans="2:4" ht="15.6" customHeight="1" x14ac:dyDescent="0.2">
      <c r="B10" s="196" t="s">
        <v>7</v>
      </c>
      <c r="D10" s="196"/>
    </row>
    <row r="11" spans="2:4" ht="15.6" customHeight="1" x14ac:dyDescent="0.2">
      <c r="B11" s="196" t="s">
        <v>8</v>
      </c>
      <c r="D11" s="196"/>
    </row>
    <row r="12" spans="2:4" ht="15.6" customHeight="1" x14ac:dyDescent="0.2">
      <c r="B12" s="196"/>
      <c r="D12" s="197" t="s">
        <v>9</v>
      </c>
    </row>
    <row r="13" spans="2:4" ht="15.6" customHeight="1" x14ac:dyDescent="0.2">
      <c r="B13" s="196" t="s">
        <v>10</v>
      </c>
      <c r="D13" s="196"/>
    </row>
    <row r="14" spans="2:4" ht="15.6" customHeight="1" x14ac:dyDescent="0.2">
      <c r="B14" s="196" t="s">
        <v>11</v>
      </c>
      <c r="D14" s="196"/>
    </row>
    <row r="15" spans="2:4" ht="15.6" customHeight="1" x14ac:dyDescent="0.2">
      <c r="B15" s="196"/>
      <c r="D15" s="196"/>
    </row>
    <row r="16" spans="2:4" ht="15.6" customHeight="1" x14ac:dyDescent="0.2">
      <c r="B16" s="196" t="s">
        <v>12</v>
      </c>
      <c r="D16" s="196"/>
    </row>
    <row r="17" spans="2:4" ht="15.6" customHeight="1" x14ac:dyDescent="0.2">
      <c r="B17" s="196" t="s">
        <v>13</v>
      </c>
      <c r="D17" s="196"/>
    </row>
    <row r="18" spans="2:4" ht="15.6" customHeight="1" x14ac:dyDescent="0.2">
      <c r="B18" s="196" t="s">
        <v>14</v>
      </c>
      <c r="D18" s="198" t="s">
        <v>15</v>
      </c>
    </row>
    <row r="19" spans="2:4" ht="15.6" customHeight="1" x14ac:dyDescent="0.2">
      <c r="B19" s="196" t="s">
        <v>16</v>
      </c>
      <c r="D19" s="196"/>
    </row>
    <row r="20" spans="2:4" ht="15.6" customHeight="1" x14ac:dyDescent="0.2">
      <c r="B20" s="196"/>
      <c r="D20" s="196"/>
    </row>
    <row r="21" spans="2:4" ht="15.6" customHeight="1" x14ac:dyDescent="0.2">
      <c r="B21" s="199" t="s">
        <v>17</v>
      </c>
      <c r="D21" s="200" t="s">
        <v>18</v>
      </c>
    </row>
    <row r="22" spans="2:4" ht="15.6" customHeight="1" x14ac:dyDescent="0.2">
      <c r="B22" s="196"/>
      <c r="D22" s="196"/>
    </row>
    <row r="23" spans="2:4" ht="19.5" customHeight="1" x14ac:dyDescent="0.25">
      <c r="B23" s="196" t="s">
        <v>19</v>
      </c>
      <c r="D23" s="201" t="s">
        <v>229</v>
      </c>
    </row>
    <row r="24" spans="2:4" ht="15.6" customHeight="1" x14ac:dyDescent="0.2">
      <c r="B24" s="196" t="s">
        <v>20</v>
      </c>
      <c r="D24" s="196"/>
    </row>
    <row r="25" spans="2:4" ht="11.25" customHeight="1" x14ac:dyDescent="0.2">
      <c r="B25" s="196"/>
      <c r="D25" s="202" t="s">
        <v>21</v>
      </c>
    </row>
    <row r="26" spans="2:4" ht="15.95" customHeight="1" x14ac:dyDescent="0.2">
      <c r="B26" s="196" t="s">
        <v>22</v>
      </c>
      <c r="D26" s="226" t="s">
        <v>238</v>
      </c>
    </row>
    <row r="27" spans="2:4" ht="15.95" customHeight="1" x14ac:dyDescent="0.2">
      <c r="B27" s="196" t="s">
        <v>23</v>
      </c>
      <c r="D27" s="227"/>
    </row>
    <row r="28" spans="2:4" ht="15.95" customHeight="1" x14ac:dyDescent="0.2">
      <c r="B28" s="196" t="s">
        <v>24</v>
      </c>
      <c r="D28" s="227"/>
    </row>
    <row r="29" spans="2:4" ht="18.75" customHeight="1" x14ac:dyDescent="0.2">
      <c r="B29" s="196" t="s">
        <v>25</v>
      </c>
      <c r="D29" s="227"/>
    </row>
    <row r="30" spans="2:4" ht="15.6" customHeight="1" x14ac:dyDescent="0.2">
      <c r="B30" s="196"/>
      <c r="D30" s="196"/>
    </row>
    <row r="31" spans="2:4" ht="15.6" customHeight="1" x14ac:dyDescent="0.2">
      <c r="B31" s="196" t="s">
        <v>26</v>
      </c>
      <c r="D31" s="196" t="s">
        <v>27</v>
      </c>
    </row>
    <row r="32" spans="2:4" ht="15.6" customHeight="1" x14ac:dyDescent="0.2">
      <c r="B32" s="196" t="s">
        <v>28</v>
      </c>
      <c r="D32" s="202"/>
    </row>
    <row r="33" spans="2:4" ht="15.6" customHeight="1" x14ac:dyDescent="0.2">
      <c r="B33" s="196"/>
      <c r="D33" s="202" t="s">
        <v>255</v>
      </c>
    </row>
    <row r="34" spans="2:4" ht="15.6" customHeight="1" x14ac:dyDescent="0.2">
      <c r="B34" s="196" t="s">
        <v>29</v>
      </c>
      <c r="D34" s="202"/>
    </row>
    <row r="35" spans="2:4" ht="15.6" customHeight="1" x14ac:dyDescent="0.2">
      <c r="B35" s="196" t="s">
        <v>30</v>
      </c>
      <c r="D35" s="202" t="s">
        <v>31</v>
      </c>
    </row>
    <row r="36" spans="2:4" ht="15.6" customHeight="1" x14ac:dyDescent="0.2">
      <c r="B36" s="196" t="s">
        <v>32</v>
      </c>
      <c r="D36" s="202"/>
    </row>
    <row r="37" spans="2:4" ht="15.6" customHeight="1" x14ac:dyDescent="0.2">
      <c r="B37" s="196"/>
      <c r="D37" s="202" t="s">
        <v>33</v>
      </c>
    </row>
    <row r="38" spans="2:4" ht="15.6" customHeight="1" x14ac:dyDescent="0.2">
      <c r="B38" s="196" t="s">
        <v>34</v>
      </c>
      <c r="D38" s="196"/>
    </row>
    <row r="39" spans="2:4" ht="15.6" customHeight="1" x14ac:dyDescent="0.2">
      <c r="B39" s="196" t="s">
        <v>35</v>
      </c>
      <c r="D39" s="197" t="s">
        <v>239</v>
      </c>
    </row>
    <row r="40" spans="2:4" ht="15.6" customHeight="1" x14ac:dyDescent="0.2">
      <c r="B40" s="196"/>
      <c r="D40" s="203"/>
    </row>
    <row r="41" spans="2:4" ht="15.6" customHeight="1" x14ac:dyDescent="0.2">
      <c r="B41" s="196"/>
      <c r="D41" s="203"/>
    </row>
    <row r="42" spans="2:4" ht="15.6" customHeight="1" x14ac:dyDescent="0.2">
      <c r="B42" s="196"/>
      <c r="D42" s="197"/>
    </row>
    <row r="43" spans="2:4" ht="15.6" customHeight="1" x14ac:dyDescent="0.2">
      <c r="B43" s="196"/>
      <c r="D43" s="197"/>
    </row>
    <row r="44" spans="2:4" ht="15.6" customHeight="1" x14ac:dyDescent="0.2">
      <c r="B44" s="196"/>
      <c r="D44" s="196"/>
    </row>
    <row r="45" spans="2:4" ht="15.6" customHeight="1" x14ac:dyDescent="0.2">
      <c r="B45" s="202" t="s">
        <v>240</v>
      </c>
      <c r="D45" s="204" t="s">
        <v>36</v>
      </c>
    </row>
    <row r="46" spans="2:4" ht="15.6" customHeight="1" x14ac:dyDescent="0.2">
      <c r="B46" s="202"/>
      <c r="D46" s="196"/>
    </row>
    <row r="47" spans="2:4" ht="15.6" customHeight="1" x14ac:dyDescent="0.2">
      <c r="B47" s="202" t="s">
        <v>256</v>
      </c>
      <c r="D47" s="202" t="s">
        <v>37</v>
      </c>
    </row>
    <row r="48" spans="2:4" ht="15.6" customHeight="1" x14ac:dyDescent="0.2">
      <c r="B48" s="202"/>
      <c r="D48" s="202"/>
    </row>
    <row r="49" spans="2:4" ht="15.6" customHeight="1" x14ac:dyDescent="0.2">
      <c r="B49" s="202" t="s">
        <v>38</v>
      </c>
      <c r="D49" s="205" t="s">
        <v>39</v>
      </c>
    </row>
    <row r="50" spans="2:4" ht="15.6" customHeight="1" x14ac:dyDescent="0.2">
      <c r="B50" s="196"/>
      <c r="D50" s="202"/>
    </row>
    <row r="51" spans="2:4" ht="15.6" customHeight="1" x14ac:dyDescent="0.2">
      <c r="B51" s="196"/>
      <c r="D51" s="205" t="s">
        <v>40</v>
      </c>
    </row>
    <row r="52" spans="2:4" ht="15.6" customHeight="1" x14ac:dyDescent="0.2">
      <c r="B52" s="197" t="s">
        <v>41</v>
      </c>
      <c r="D52" s="202"/>
    </row>
    <row r="53" spans="2:4" ht="15.6" customHeight="1" x14ac:dyDescent="0.2">
      <c r="B53" s="197"/>
      <c r="C53" s="206"/>
      <c r="D53" s="198" t="s">
        <v>42</v>
      </c>
    </row>
    <row r="54" spans="2:4" ht="15.6" customHeight="1" x14ac:dyDescent="0.2">
      <c r="B54" s="197" t="s">
        <v>43</v>
      </c>
      <c r="C54" s="206"/>
      <c r="D54" s="197"/>
    </row>
    <row r="55" spans="2:4" ht="15.6" customHeight="1" x14ac:dyDescent="0.2">
      <c r="B55" s="197"/>
      <c r="C55" s="206"/>
      <c r="D55" s="196"/>
    </row>
    <row r="56" spans="2:4" ht="15.6" customHeight="1" x14ac:dyDescent="0.2">
      <c r="B56" s="197"/>
      <c r="C56" s="206"/>
      <c r="D56" s="196"/>
    </row>
    <row r="57" spans="2:4" ht="15.6" customHeight="1" x14ac:dyDescent="0.2">
      <c r="B57" s="197" t="s">
        <v>44</v>
      </c>
      <c r="C57" s="206"/>
      <c r="D57" s="207" t="s">
        <v>45</v>
      </c>
    </row>
    <row r="58" spans="2:4" ht="15.6" customHeight="1" x14ac:dyDescent="0.2">
      <c r="B58" s="197"/>
      <c r="C58" s="206"/>
      <c r="D58" s="197"/>
    </row>
    <row r="59" spans="2:4" ht="15.6" customHeight="1" x14ac:dyDescent="0.2">
      <c r="B59" s="197" t="s">
        <v>46</v>
      </c>
      <c r="C59" s="206"/>
      <c r="D59" s="207" t="s">
        <v>47</v>
      </c>
    </row>
    <row r="60" spans="2:4" ht="15.6" customHeight="1" x14ac:dyDescent="0.2">
      <c r="B60" s="197"/>
      <c r="C60" s="206"/>
      <c r="D60" s="197"/>
    </row>
    <row r="61" spans="2:4" ht="15.6" customHeight="1" x14ac:dyDescent="0.2">
      <c r="B61" s="208"/>
      <c r="C61" s="206"/>
      <c r="D61" s="197"/>
    </row>
    <row r="62" spans="2:4" ht="15.6" customHeight="1" x14ac:dyDescent="0.2">
      <c r="B62" s="197"/>
      <c r="C62" s="206"/>
      <c r="D62" s="197"/>
    </row>
    <row r="63" spans="2:4" ht="15.6" customHeight="1" x14ac:dyDescent="0.2">
      <c r="B63" s="196"/>
      <c r="D63" s="196"/>
    </row>
    <row r="64" spans="2:4" ht="15.6" customHeight="1" x14ac:dyDescent="0.2">
      <c r="B64" s="208"/>
      <c r="C64" s="206"/>
      <c r="D64" s="208"/>
    </row>
    <row r="65" spans="2:4" ht="15.6" customHeight="1" x14ac:dyDescent="0.2">
      <c r="B65" s="198" t="s">
        <v>48</v>
      </c>
      <c r="C65" s="209"/>
      <c r="D65" s="210" t="s">
        <v>49</v>
      </c>
    </row>
    <row r="66" spans="2:4" ht="15.6" customHeight="1" x14ac:dyDescent="0.2">
      <c r="B66" s="206"/>
      <c r="C66" s="206"/>
    </row>
    <row r="67" spans="2:4" ht="15.6" customHeight="1" x14ac:dyDescent="0.2">
      <c r="B67" s="206"/>
      <c r="C67" s="206"/>
    </row>
    <row r="68" spans="2:4" ht="15.6" customHeight="1" x14ac:dyDescent="0.2">
      <c r="B68" s="206"/>
      <c r="C68" s="206"/>
    </row>
    <row r="69" spans="2:4" ht="15.6" customHeight="1" x14ac:dyDescent="0.2">
      <c r="C69" s="206"/>
    </row>
    <row r="70" spans="2:4" ht="17.100000000000001" customHeight="1" x14ac:dyDescent="0.2"/>
    <row r="71" spans="2:4" ht="17.100000000000001" customHeight="1" x14ac:dyDescent="0.2"/>
    <row r="72" spans="2:4" ht="17.100000000000001" customHeight="1" x14ac:dyDescent="0.2"/>
  </sheetData>
  <mergeCells count="1">
    <mergeCell ref="D26:D29"/>
  </mergeCells>
  <printOptions horizontalCentered="1" verticalCentered="1"/>
  <pageMargins left="0.23622047244094496" right="0.23622047244094496" top="0.32874015699999998" bottom="0.472440945" header="3.9370078740157501E-2" footer="0.47244094488188992"/>
  <pageSetup paperSize="9" scale="77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57D6C-6958-4847-8F2E-2DCD4C19F4EA}">
  <dimension ref="B1:L60"/>
  <sheetViews>
    <sheetView tabSelected="1" showWhiteSpace="0" view="pageBreakPreview" topLeftCell="A25" zoomScaleNormal="100" workbookViewId="0">
      <selection activeCell="F49" sqref="F49:G49"/>
    </sheetView>
  </sheetViews>
  <sheetFormatPr defaultRowHeight="14.25" x14ac:dyDescent="0.2"/>
  <cols>
    <col min="1" max="1" width="3" style="54" customWidth="1"/>
    <col min="2" max="2" width="6.28515625" style="54" customWidth="1"/>
    <col min="3" max="3" width="8.140625" style="54" customWidth="1"/>
    <col min="4" max="4" width="10.28515625" style="54" customWidth="1"/>
    <col min="5" max="5" width="11.42578125" style="54" customWidth="1"/>
    <col min="6" max="6" width="9.85546875" style="54" customWidth="1"/>
    <col min="7" max="7" width="40.42578125" style="54" customWidth="1"/>
    <col min="8" max="8" width="8.42578125" style="54" customWidth="1"/>
    <col min="9" max="9" width="11" style="54" customWidth="1"/>
    <col min="10" max="10" width="12.140625" style="54" bestFit="1" customWidth="1"/>
    <col min="11" max="11" width="9.28515625" style="54" customWidth="1"/>
    <col min="12" max="12" width="10.28515625" style="54" customWidth="1"/>
    <col min="13" max="13" width="9.140625" style="54" bestFit="1"/>
    <col min="14" max="16384" width="9.140625" style="54"/>
  </cols>
  <sheetData>
    <row r="1" spans="2:12" ht="19.5" customHeight="1" x14ac:dyDescent="0.2"/>
    <row r="2" spans="2:12" ht="24" customHeight="1" x14ac:dyDescent="0.25">
      <c r="B2" s="229" t="s">
        <v>50</v>
      </c>
      <c r="C2" s="232" t="s">
        <v>51</v>
      </c>
      <c r="D2" s="238" t="s">
        <v>52</v>
      </c>
      <c r="E2" s="239"/>
      <c r="F2" s="265" t="s">
        <v>53</v>
      </c>
      <c r="G2" s="266"/>
      <c r="H2" s="232" t="s">
        <v>54</v>
      </c>
      <c r="I2" s="244" t="s">
        <v>55</v>
      </c>
      <c r="J2" s="245"/>
      <c r="K2" s="246"/>
      <c r="L2" s="235" t="s">
        <v>56</v>
      </c>
    </row>
    <row r="3" spans="2:12" ht="21" customHeight="1" x14ac:dyDescent="0.25">
      <c r="B3" s="230"/>
      <c r="C3" s="233"/>
      <c r="D3" s="240"/>
      <c r="E3" s="241"/>
      <c r="F3" s="267" t="s">
        <v>57</v>
      </c>
      <c r="G3" s="268"/>
      <c r="H3" s="233"/>
      <c r="I3" s="247"/>
      <c r="J3" s="248"/>
      <c r="K3" s="249"/>
      <c r="L3" s="236"/>
    </row>
    <row r="4" spans="2:12" ht="21.75" customHeight="1" x14ac:dyDescent="0.25">
      <c r="B4" s="231"/>
      <c r="C4" s="234"/>
      <c r="D4" s="242"/>
      <c r="E4" s="243"/>
      <c r="F4" s="269" t="s">
        <v>58</v>
      </c>
      <c r="G4" s="270"/>
      <c r="H4" s="234"/>
      <c r="I4" s="109" t="s">
        <v>59</v>
      </c>
      <c r="J4" s="110" t="s">
        <v>60</v>
      </c>
      <c r="K4" s="111"/>
      <c r="L4" s="237"/>
    </row>
    <row r="5" spans="2:12" ht="24" customHeight="1" x14ac:dyDescent="0.25">
      <c r="B5" s="144"/>
      <c r="C5" s="59"/>
      <c r="D5" s="59" t="s">
        <v>59</v>
      </c>
      <c r="E5" s="59" t="s">
        <v>60</v>
      </c>
      <c r="F5" s="145"/>
      <c r="G5" s="146"/>
      <c r="H5" s="59"/>
      <c r="I5" s="55" t="s">
        <v>61</v>
      </c>
      <c r="J5" s="56" t="s">
        <v>62</v>
      </c>
      <c r="K5" s="59" t="s">
        <v>63</v>
      </c>
      <c r="L5" s="172"/>
    </row>
    <row r="6" spans="2:12" ht="18.75" customHeight="1" x14ac:dyDescent="0.25">
      <c r="B6" s="144"/>
      <c r="C6" s="59"/>
      <c r="D6" s="59" t="s">
        <v>64</v>
      </c>
      <c r="E6" s="59" t="s">
        <v>65</v>
      </c>
      <c r="F6" s="145"/>
      <c r="G6" s="146"/>
      <c r="H6" s="59"/>
      <c r="I6" s="56" t="s">
        <v>66</v>
      </c>
      <c r="J6" s="56" t="s">
        <v>67</v>
      </c>
      <c r="K6" s="59" t="s">
        <v>68</v>
      </c>
      <c r="L6" s="172"/>
    </row>
    <row r="7" spans="2:12" ht="20.25" customHeight="1" x14ac:dyDescent="0.25">
      <c r="B7" s="144"/>
      <c r="C7" s="59"/>
      <c r="D7" s="59" t="s">
        <v>69</v>
      </c>
      <c r="E7" s="59" t="s">
        <v>70</v>
      </c>
      <c r="F7" s="147"/>
      <c r="G7" s="148"/>
      <c r="H7" s="149"/>
      <c r="I7" s="173" t="s">
        <v>71</v>
      </c>
      <c r="J7" s="173" t="s">
        <v>72</v>
      </c>
      <c r="K7" s="149"/>
      <c r="L7" s="174"/>
    </row>
    <row r="8" spans="2:12" ht="22.5" customHeight="1" x14ac:dyDescent="0.2">
      <c r="B8" s="65">
        <v>1</v>
      </c>
      <c r="C8" s="66">
        <v>2</v>
      </c>
      <c r="D8" s="66">
        <v>3</v>
      </c>
      <c r="E8" s="66">
        <v>4</v>
      </c>
      <c r="F8" s="271">
        <v>5</v>
      </c>
      <c r="G8" s="272"/>
      <c r="H8" s="66">
        <v>6</v>
      </c>
      <c r="I8" s="66">
        <v>7</v>
      </c>
      <c r="J8" s="66">
        <v>8</v>
      </c>
      <c r="K8" s="66">
        <v>9</v>
      </c>
      <c r="L8" s="116">
        <v>10</v>
      </c>
    </row>
    <row r="9" spans="2:12" ht="36.75" customHeight="1" x14ac:dyDescent="0.2">
      <c r="B9" s="150">
        <v>1</v>
      </c>
      <c r="C9" s="70" t="s">
        <v>73</v>
      </c>
      <c r="D9" s="151"/>
      <c r="E9" s="152">
        <f>E10+E11</f>
        <v>86</v>
      </c>
      <c r="F9" s="273" t="s">
        <v>74</v>
      </c>
      <c r="G9" s="274"/>
      <c r="H9" s="153">
        <v>100</v>
      </c>
      <c r="I9" s="151"/>
      <c r="J9" s="175">
        <f>H9*E9</f>
        <v>8600</v>
      </c>
      <c r="K9" s="175"/>
      <c r="L9" s="176" t="s">
        <v>75</v>
      </c>
    </row>
    <row r="10" spans="2:12" ht="21" customHeight="1" x14ac:dyDescent="0.2">
      <c r="B10" s="150">
        <v>1.1000000000000001</v>
      </c>
      <c r="C10" s="70" t="s">
        <v>73</v>
      </c>
      <c r="D10" s="151"/>
      <c r="E10" s="152">
        <f>[1]Sheet1!$H$182</f>
        <v>14</v>
      </c>
      <c r="F10" s="264" t="s">
        <v>76</v>
      </c>
      <c r="G10" s="264"/>
      <c r="H10" s="153">
        <v>38</v>
      </c>
      <c r="I10" s="151"/>
      <c r="J10" s="175">
        <f t="shared" ref="J10:J49" si="0">H10*E10</f>
        <v>532</v>
      </c>
      <c r="K10" s="175"/>
      <c r="L10" s="176"/>
    </row>
    <row r="11" spans="2:12" ht="16.5" customHeight="1" x14ac:dyDescent="0.2">
      <c r="B11" s="150">
        <v>1.2</v>
      </c>
      <c r="C11" s="70" t="s">
        <v>73</v>
      </c>
      <c r="D11" s="151"/>
      <c r="E11" s="152">
        <f>[1]Sheet1!$G$182</f>
        <v>72</v>
      </c>
      <c r="F11" s="264" t="s">
        <v>77</v>
      </c>
      <c r="G11" s="264"/>
      <c r="H11" s="153">
        <v>30</v>
      </c>
      <c r="I11" s="151"/>
      <c r="J11" s="175">
        <f t="shared" si="0"/>
        <v>2160</v>
      </c>
      <c r="K11" s="175"/>
      <c r="L11" s="176"/>
    </row>
    <row r="12" spans="2:12" ht="28.5" customHeight="1" x14ac:dyDescent="0.2">
      <c r="B12" s="150">
        <v>2</v>
      </c>
      <c r="C12" s="70" t="s">
        <v>73</v>
      </c>
      <c r="D12" s="151"/>
      <c r="E12" s="152">
        <f>[1]Sheet1!$I$182+[1]Sheet1!$J$182</f>
        <v>370</v>
      </c>
      <c r="F12" s="250" t="s">
        <v>78</v>
      </c>
      <c r="G12" s="250"/>
      <c r="H12" s="153">
        <v>140</v>
      </c>
      <c r="I12" s="151"/>
      <c r="J12" s="175">
        <f t="shared" si="0"/>
        <v>51800</v>
      </c>
      <c r="K12" s="175"/>
      <c r="L12" s="176"/>
    </row>
    <row r="13" spans="2:12" ht="28.5" customHeight="1" x14ac:dyDescent="0.2">
      <c r="B13" s="150">
        <v>2.1</v>
      </c>
      <c r="C13" s="70" t="s">
        <v>73</v>
      </c>
      <c r="D13" s="151"/>
      <c r="E13" s="152">
        <f>E12</f>
        <v>370</v>
      </c>
      <c r="F13" s="259" t="s">
        <v>79</v>
      </c>
      <c r="G13" s="260"/>
      <c r="H13" s="153">
        <v>5</v>
      </c>
      <c r="I13" s="151"/>
      <c r="J13" s="175">
        <f t="shared" si="0"/>
        <v>1850</v>
      </c>
      <c r="K13" s="175"/>
      <c r="L13" s="176"/>
    </row>
    <row r="14" spans="2:12" ht="32.25" customHeight="1" x14ac:dyDescent="0.2">
      <c r="B14" s="150">
        <v>3</v>
      </c>
      <c r="C14" s="70" t="s">
        <v>73</v>
      </c>
      <c r="D14" s="73"/>
      <c r="E14" s="154">
        <f>[1]Sheet1!$K$182</f>
        <v>8</v>
      </c>
      <c r="F14" s="250" t="s">
        <v>80</v>
      </c>
      <c r="G14" s="250"/>
      <c r="H14" s="151">
        <v>165</v>
      </c>
      <c r="I14" s="73"/>
      <c r="J14" s="175">
        <f t="shared" si="0"/>
        <v>1320</v>
      </c>
      <c r="K14" s="121"/>
      <c r="L14" s="122"/>
    </row>
    <row r="15" spans="2:12" ht="32.25" customHeight="1" x14ac:dyDescent="0.2">
      <c r="B15" s="150">
        <v>3.1</v>
      </c>
      <c r="C15" s="70"/>
      <c r="D15" s="73"/>
      <c r="E15" s="154">
        <f>E14</f>
        <v>8</v>
      </c>
      <c r="F15" s="259" t="s">
        <v>81</v>
      </c>
      <c r="G15" s="260"/>
      <c r="H15" s="151">
        <v>10</v>
      </c>
      <c r="I15" s="73"/>
      <c r="J15" s="175">
        <f t="shared" si="0"/>
        <v>80</v>
      </c>
      <c r="K15" s="121"/>
      <c r="L15" s="122"/>
    </row>
    <row r="16" spans="2:12" ht="63" customHeight="1" x14ac:dyDescent="0.2">
      <c r="B16" s="150">
        <v>4</v>
      </c>
      <c r="C16" s="151" t="s">
        <v>82</v>
      </c>
      <c r="D16" s="73"/>
      <c r="E16" s="154">
        <f>[1]Sheet1!$L$182</f>
        <v>178</v>
      </c>
      <c r="F16" s="250" t="s">
        <v>83</v>
      </c>
      <c r="G16" s="250"/>
      <c r="H16" s="151">
        <v>50</v>
      </c>
      <c r="I16" s="177"/>
      <c r="J16" s="175">
        <f t="shared" si="0"/>
        <v>8900</v>
      </c>
      <c r="K16" s="123"/>
      <c r="L16" s="124"/>
    </row>
    <row r="17" spans="2:12" ht="37.5" customHeight="1" x14ac:dyDescent="0.2">
      <c r="B17" s="150">
        <v>5</v>
      </c>
      <c r="C17" s="70" t="s">
        <v>73</v>
      </c>
      <c r="D17" s="70"/>
      <c r="E17" s="155">
        <f>[1]Sheet1!$M$182</f>
        <v>96</v>
      </c>
      <c r="F17" s="250" t="s">
        <v>84</v>
      </c>
      <c r="G17" s="250"/>
      <c r="H17" s="151">
        <v>150</v>
      </c>
      <c r="I17" s="73"/>
      <c r="J17" s="175">
        <f t="shared" si="0"/>
        <v>14400</v>
      </c>
      <c r="K17" s="121"/>
      <c r="L17" s="122"/>
    </row>
    <row r="18" spans="2:12" ht="31.5" customHeight="1" x14ac:dyDescent="0.2">
      <c r="B18" s="150">
        <v>6</v>
      </c>
      <c r="C18" s="70"/>
      <c r="D18" s="70"/>
      <c r="E18" s="155">
        <f>[1]Sheet1!$P$182</f>
        <v>178</v>
      </c>
      <c r="F18" s="261" t="s">
        <v>85</v>
      </c>
      <c r="G18" s="261"/>
      <c r="H18" s="151">
        <v>150</v>
      </c>
      <c r="I18" s="73"/>
      <c r="J18" s="175">
        <f t="shared" si="0"/>
        <v>26700</v>
      </c>
      <c r="K18" s="121"/>
      <c r="L18" s="122"/>
    </row>
    <row r="19" spans="2:12" ht="18" customHeight="1" x14ac:dyDescent="0.2">
      <c r="B19" s="150">
        <v>6.1</v>
      </c>
      <c r="C19" s="70" t="s">
        <v>73</v>
      </c>
      <c r="D19" s="70"/>
      <c r="E19" s="155">
        <f>[1]Sheet1!$Q$182</f>
        <v>1119</v>
      </c>
      <c r="F19" s="250" t="s">
        <v>86</v>
      </c>
      <c r="G19" s="250"/>
      <c r="H19" s="151">
        <v>8</v>
      </c>
      <c r="I19" s="156"/>
      <c r="J19" s="175">
        <f t="shared" si="0"/>
        <v>8952</v>
      </c>
      <c r="K19" s="126"/>
      <c r="L19" s="127"/>
    </row>
    <row r="20" spans="2:12" ht="18" customHeight="1" x14ac:dyDescent="0.2">
      <c r="B20" s="150">
        <v>6.2</v>
      </c>
      <c r="C20" s="70" t="s">
        <v>73</v>
      </c>
      <c r="D20" s="156"/>
      <c r="E20" s="156"/>
      <c r="F20" s="250" t="s">
        <v>87</v>
      </c>
      <c r="G20" s="250"/>
      <c r="H20" s="151">
        <v>45</v>
      </c>
      <c r="I20" s="156"/>
      <c r="J20" s="175">
        <f t="shared" si="0"/>
        <v>0</v>
      </c>
      <c r="K20" s="156"/>
      <c r="L20" s="178"/>
    </row>
    <row r="21" spans="2:12" ht="20.100000000000001" customHeight="1" x14ac:dyDescent="0.2">
      <c r="B21" s="150">
        <v>6.3</v>
      </c>
      <c r="C21" s="70" t="s">
        <v>73</v>
      </c>
      <c r="D21" s="70"/>
      <c r="E21" s="155">
        <f>[1]Sheet1!$R$182</f>
        <v>687</v>
      </c>
      <c r="F21" s="250" t="s">
        <v>88</v>
      </c>
      <c r="G21" s="250"/>
      <c r="H21" s="151">
        <v>16</v>
      </c>
      <c r="I21" s="70"/>
      <c r="J21" s="175">
        <f t="shared" si="0"/>
        <v>10992</v>
      </c>
      <c r="K21" s="70"/>
      <c r="L21" s="179"/>
    </row>
    <row r="22" spans="2:12" ht="15" x14ac:dyDescent="0.2">
      <c r="B22" s="150">
        <v>6.4</v>
      </c>
      <c r="C22" s="70" t="s">
        <v>73</v>
      </c>
      <c r="D22" s="70"/>
      <c r="E22" s="155">
        <f>[1]Sheet1!$S$182</f>
        <v>353</v>
      </c>
      <c r="F22" s="250" t="s">
        <v>89</v>
      </c>
      <c r="G22" s="250"/>
      <c r="H22" s="151">
        <v>23</v>
      </c>
      <c r="I22" s="70"/>
      <c r="J22" s="175">
        <f t="shared" si="0"/>
        <v>8119</v>
      </c>
      <c r="K22" s="70"/>
      <c r="L22" s="179"/>
    </row>
    <row r="23" spans="2:12" ht="15" x14ac:dyDescent="0.2">
      <c r="B23" s="150">
        <v>6.5</v>
      </c>
      <c r="C23" s="70" t="s">
        <v>73</v>
      </c>
      <c r="D23" s="70"/>
      <c r="E23" s="155"/>
      <c r="F23" s="250" t="s">
        <v>90</v>
      </c>
      <c r="G23" s="250"/>
      <c r="H23" s="151">
        <v>32</v>
      </c>
      <c r="I23" s="70"/>
      <c r="J23" s="175">
        <f t="shared" si="0"/>
        <v>0</v>
      </c>
      <c r="K23" s="70"/>
      <c r="L23" s="179"/>
    </row>
    <row r="24" spans="2:12" ht="35.25" customHeight="1" x14ac:dyDescent="0.2">
      <c r="B24" s="150">
        <v>6.6</v>
      </c>
      <c r="C24" s="70" t="s">
        <v>73</v>
      </c>
      <c r="D24" s="70"/>
      <c r="E24" s="154">
        <f>E23+E22+E21+E19</f>
        <v>2159</v>
      </c>
      <c r="F24" s="262" t="s">
        <v>91</v>
      </c>
      <c r="G24" s="263"/>
      <c r="H24" s="151">
        <v>20</v>
      </c>
      <c r="I24" s="70"/>
      <c r="J24" s="175">
        <f t="shared" si="0"/>
        <v>43180</v>
      </c>
      <c r="K24" s="70"/>
      <c r="L24" s="179"/>
    </row>
    <row r="25" spans="2:12" ht="15" x14ac:dyDescent="0.2">
      <c r="B25" s="150">
        <v>7</v>
      </c>
      <c r="C25" s="70" t="s">
        <v>92</v>
      </c>
      <c r="D25" s="70"/>
      <c r="E25" s="155"/>
      <c r="F25" s="250" t="s">
        <v>93</v>
      </c>
      <c r="G25" s="250"/>
      <c r="H25" s="151">
        <v>150</v>
      </c>
      <c r="I25" s="70"/>
      <c r="J25" s="175">
        <f t="shared" si="0"/>
        <v>0</v>
      </c>
      <c r="K25" s="70"/>
      <c r="L25" s="179"/>
    </row>
    <row r="26" spans="2:12" ht="49.5" customHeight="1" x14ac:dyDescent="0.2">
      <c r="B26" s="150">
        <v>8</v>
      </c>
      <c r="C26" s="70" t="s">
        <v>73</v>
      </c>
      <c r="D26" s="70"/>
      <c r="E26" s="154">
        <f>[1]Sheet1!$U$182</f>
        <v>178</v>
      </c>
      <c r="F26" s="250" t="s">
        <v>94</v>
      </c>
      <c r="G26" s="250"/>
      <c r="H26" s="151">
        <v>150</v>
      </c>
      <c r="I26" s="70"/>
      <c r="J26" s="175">
        <f t="shared" si="0"/>
        <v>26700</v>
      </c>
      <c r="K26" s="70"/>
      <c r="L26" s="179"/>
    </row>
    <row r="27" spans="2:12" ht="33" customHeight="1" x14ac:dyDescent="0.2">
      <c r="B27" s="150">
        <v>9</v>
      </c>
      <c r="C27" s="70"/>
      <c r="D27" s="70"/>
      <c r="E27" s="155">
        <v>126</v>
      </c>
      <c r="F27" s="261" t="s">
        <v>234</v>
      </c>
      <c r="G27" s="261"/>
      <c r="H27" s="151">
        <v>3650</v>
      </c>
      <c r="I27" s="70"/>
      <c r="J27" s="175">
        <f t="shared" si="0"/>
        <v>459900</v>
      </c>
      <c r="K27" s="70"/>
      <c r="L27" s="179"/>
    </row>
    <row r="28" spans="2:12" ht="46.5" customHeight="1" x14ac:dyDescent="0.2">
      <c r="B28" s="150">
        <v>9.1</v>
      </c>
      <c r="C28" s="70" t="s">
        <v>73</v>
      </c>
      <c r="D28" s="70"/>
      <c r="E28" s="154">
        <f>[2]Sheet1!$V$129</f>
        <v>0</v>
      </c>
      <c r="F28" s="250" t="s">
        <v>237</v>
      </c>
      <c r="G28" s="250"/>
      <c r="H28" s="151">
        <v>544</v>
      </c>
      <c r="I28" s="70"/>
      <c r="J28" s="175">
        <f t="shared" si="0"/>
        <v>0</v>
      </c>
      <c r="K28" s="70"/>
      <c r="L28" s="179"/>
    </row>
    <row r="29" spans="2:12" ht="45.75" customHeight="1" x14ac:dyDescent="0.2">
      <c r="B29" s="150">
        <v>9.1999999999999993</v>
      </c>
      <c r="C29" s="70" t="s">
        <v>73</v>
      </c>
      <c r="D29" s="70"/>
      <c r="E29" s="154"/>
      <c r="F29" s="250" t="s">
        <v>236</v>
      </c>
      <c r="G29" s="250"/>
      <c r="H29" s="151">
        <v>706</v>
      </c>
      <c r="I29" s="70"/>
      <c r="J29" s="175">
        <f t="shared" si="0"/>
        <v>0</v>
      </c>
      <c r="K29" s="70"/>
      <c r="L29" s="179"/>
    </row>
    <row r="30" spans="2:12" ht="45.75" customHeight="1" x14ac:dyDescent="0.2">
      <c r="B30" s="150">
        <v>9.3000000000000007</v>
      </c>
      <c r="C30" s="70" t="s">
        <v>73</v>
      </c>
      <c r="D30" s="70"/>
      <c r="E30" s="154">
        <f>[1]Sheet1!$W$182</f>
        <v>127</v>
      </c>
      <c r="F30" s="250" t="s">
        <v>235</v>
      </c>
      <c r="G30" s="250"/>
      <c r="H30" s="151">
        <v>1388</v>
      </c>
      <c r="I30" s="70"/>
      <c r="J30" s="175">
        <f t="shared" si="0"/>
        <v>176276</v>
      </c>
      <c r="K30" s="70"/>
      <c r="L30" s="179"/>
    </row>
    <row r="31" spans="2:12" ht="31.5" customHeight="1" x14ac:dyDescent="0.2">
      <c r="B31" s="150">
        <v>10</v>
      </c>
      <c r="C31" s="70"/>
      <c r="D31" s="70"/>
      <c r="E31" s="70"/>
      <c r="F31" s="261" t="s">
        <v>95</v>
      </c>
      <c r="G31" s="261"/>
      <c r="H31" s="151"/>
      <c r="I31" s="70"/>
      <c r="J31" s="175"/>
      <c r="K31" s="70"/>
      <c r="L31" s="179"/>
    </row>
    <row r="32" spans="2:12" ht="15" x14ac:dyDescent="0.2">
      <c r="B32" s="150">
        <v>10.1</v>
      </c>
      <c r="C32" s="70" t="s">
        <v>73</v>
      </c>
      <c r="D32" s="70"/>
      <c r="E32" s="70">
        <v>0</v>
      </c>
      <c r="F32" s="250" t="s">
        <v>96</v>
      </c>
      <c r="G32" s="250"/>
      <c r="H32" s="151">
        <v>20</v>
      </c>
      <c r="I32" s="70"/>
      <c r="J32" s="175">
        <f t="shared" si="0"/>
        <v>0</v>
      </c>
      <c r="K32" s="70"/>
      <c r="L32" s="179"/>
    </row>
    <row r="33" spans="2:12" ht="15" x14ac:dyDescent="0.2">
      <c r="B33" s="150">
        <v>10.199999999999999</v>
      </c>
      <c r="C33" s="70" t="s">
        <v>73</v>
      </c>
      <c r="D33" s="70"/>
      <c r="E33" s="155">
        <v>0</v>
      </c>
      <c r="F33" s="250" t="s">
        <v>97</v>
      </c>
      <c r="G33" s="250"/>
      <c r="H33" s="151">
        <v>20</v>
      </c>
      <c r="I33" s="70"/>
      <c r="J33" s="175">
        <f t="shared" si="0"/>
        <v>0</v>
      </c>
      <c r="K33" s="70"/>
      <c r="L33" s="179"/>
    </row>
    <row r="34" spans="2:12" ht="31.5" customHeight="1" x14ac:dyDescent="0.2">
      <c r="B34" s="150">
        <v>11</v>
      </c>
      <c r="C34" s="70"/>
      <c r="D34" s="70"/>
      <c r="E34" s="70"/>
      <c r="F34" s="261" t="s">
        <v>98</v>
      </c>
      <c r="G34" s="261"/>
      <c r="H34" s="151"/>
      <c r="I34" s="70"/>
      <c r="J34" s="175">
        <f t="shared" si="0"/>
        <v>0</v>
      </c>
      <c r="K34" s="70"/>
      <c r="L34" s="179"/>
    </row>
    <row r="35" spans="2:12" ht="15" customHeight="1" x14ac:dyDescent="0.2">
      <c r="B35" s="150">
        <v>11.1</v>
      </c>
      <c r="C35" s="70" t="s">
        <v>73</v>
      </c>
      <c r="D35" s="70"/>
      <c r="E35" s="155">
        <f>[1]Sheet1!$Z$182</f>
        <v>88</v>
      </c>
      <c r="F35" s="250" t="s">
        <v>99</v>
      </c>
      <c r="G35" s="250"/>
      <c r="H35" s="151">
        <v>682</v>
      </c>
      <c r="I35" s="70"/>
      <c r="J35" s="175">
        <f t="shared" si="0"/>
        <v>60016</v>
      </c>
      <c r="K35" s="70"/>
      <c r="L35" s="179"/>
    </row>
    <row r="36" spans="2:12" ht="15" x14ac:dyDescent="0.2">
      <c r="B36" s="150">
        <v>11.2</v>
      </c>
      <c r="C36" s="70" t="s">
        <v>73</v>
      </c>
      <c r="D36" s="70"/>
      <c r="E36" s="155">
        <f>[1]Sheet1!$AA$182</f>
        <v>174</v>
      </c>
      <c r="F36" s="250" t="s">
        <v>100</v>
      </c>
      <c r="G36" s="250"/>
      <c r="H36" s="151">
        <v>525</v>
      </c>
      <c r="I36" s="70"/>
      <c r="J36" s="175">
        <f t="shared" si="0"/>
        <v>91350</v>
      </c>
      <c r="K36" s="70"/>
      <c r="L36" s="179"/>
    </row>
    <row r="37" spans="2:12" ht="15" x14ac:dyDescent="0.2">
      <c r="B37" s="150">
        <v>11.3</v>
      </c>
      <c r="C37" s="70" t="s">
        <v>73</v>
      </c>
      <c r="D37" s="70"/>
      <c r="E37" s="155">
        <f>[1]Sheet1!$AB$182</f>
        <v>280</v>
      </c>
      <c r="F37" s="250" t="s">
        <v>101</v>
      </c>
      <c r="G37" s="250"/>
      <c r="H37" s="151">
        <v>370</v>
      </c>
      <c r="I37" s="70"/>
      <c r="J37" s="175">
        <f t="shared" si="0"/>
        <v>103600</v>
      </c>
      <c r="K37" s="70"/>
      <c r="L37" s="179"/>
    </row>
    <row r="38" spans="2:12" ht="15" x14ac:dyDescent="0.2">
      <c r="B38" s="150">
        <v>11.4</v>
      </c>
      <c r="C38" s="70" t="s">
        <v>73</v>
      </c>
      <c r="D38" s="70"/>
      <c r="E38" s="155">
        <f>E35+E36+E37</f>
        <v>542</v>
      </c>
      <c r="F38" s="259" t="s">
        <v>102</v>
      </c>
      <c r="G38" s="260"/>
      <c r="H38" s="151">
        <v>50</v>
      </c>
      <c r="I38" s="70"/>
      <c r="J38" s="175">
        <f t="shared" si="0"/>
        <v>27100</v>
      </c>
      <c r="K38" s="70"/>
      <c r="L38" s="179"/>
    </row>
    <row r="39" spans="2:12" ht="53.25" customHeight="1" x14ac:dyDescent="0.2">
      <c r="B39" s="150">
        <v>12</v>
      </c>
      <c r="C39" s="70"/>
      <c r="D39" s="70"/>
      <c r="E39" s="70"/>
      <c r="F39" s="261" t="s">
        <v>103</v>
      </c>
      <c r="G39" s="261"/>
      <c r="H39" s="151"/>
      <c r="I39" s="70"/>
      <c r="J39" s="175"/>
      <c r="K39" s="70"/>
      <c r="L39" s="179"/>
    </row>
    <row r="40" spans="2:12" ht="15" x14ac:dyDescent="0.2">
      <c r="B40" s="150">
        <v>12</v>
      </c>
      <c r="C40" s="70" t="s">
        <v>73</v>
      </c>
      <c r="D40" s="70"/>
      <c r="E40" s="155">
        <f>[1]Sheet1!$AC$182</f>
        <v>88</v>
      </c>
      <c r="F40" s="258" t="s">
        <v>104</v>
      </c>
      <c r="G40" s="258"/>
      <c r="H40" s="151">
        <v>690</v>
      </c>
      <c r="I40" s="70"/>
      <c r="J40" s="175">
        <f t="shared" si="0"/>
        <v>60720</v>
      </c>
      <c r="K40" s="70"/>
      <c r="L40" s="179"/>
    </row>
    <row r="41" spans="2:12" ht="15" x14ac:dyDescent="0.2">
      <c r="B41" s="150">
        <v>12</v>
      </c>
      <c r="C41" s="70" t="s">
        <v>73</v>
      </c>
      <c r="D41" s="70"/>
      <c r="E41" s="155">
        <f>[1]Sheet1!$AD$182</f>
        <v>174</v>
      </c>
      <c r="F41" s="258" t="s">
        <v>105</v>
      </c>
      <c r="G41" s="258"/>
      <c r="H41" s="151">
        <v>490</v>
      </c>
      <c r="I41" s="70"/>
      <c r="J41" s="175">
        <f t="shared" si="0"/>
        <v>85260</v>
      </c>
      <c r="K41" s="70"/>
      <c r="L41" s="179"/>
    </row>
    <row r="42" spans="2:12" ht="15" x14ac:dyDescent="0.2">
      <c r="B42" s="150">
        <v>12.3</v>
      </c>
      <c r="C42" s="70" t="s">
        <v>73</v>
      </c>
      <c r="D42" s="70"/>
      <c r="E42" s="155">
        <f>[1]Sheet1!$AE$182</f>
        <v>282</v>
      </c>
      <c r="F42" s="258" t="s">
        <v>106</v>
      </c>
      <c r="G42" s="258"/>
      <c r="H42" s="151">
        <v>352</v>
      </c>
      <c r="I42" s="70"/>
      <c r="J42" s="175">
        <f t="shared" si="0"/>
        <v>99264</v>
      </c>
      <c r="K42" s="70"/>
      <c r="L42" s="179"/>
    </row>
    <row r="43" spans="2:12" ht="35.25" customHeight="1" x14ac:dyDescent="0.25">
      <c r="B43" s="150">
        <v>13</v>
      </c>
      <c r="C43" s="70" t="s">
        <v>73</v>
      </c>
      <c r="D43" s="157"/>
      <c r="E43" s="154">
        <f>[1]Sheet1!$AF$182</f>
        <v>531</v>
      </c>
      <c r="F43" s="250" t="s">
        <v>107</v>
      </c>
      <c r="G43" s="250"/>
      <c r="H43" s="151">
        <v>15</v>
      </c>
      <c r="I43" s="70"/>
      <c r="J43" s="175">
        <f t="shared" si="0"/>
        <v>7965</v>
      </c>
      <c r="K43" s="70"/>
      <c r="L43" s="179"/>
    </row>
    <row r="44" spans="2:12" ht="35.25" customHeight="1" x14ac:dyDescent="0.25">
      <c r="B44" s="150">
        <v>13.1</v>
      </c>
      <c r="C44" s="70"/>
      <c r="D44" s="157"/>
      <c r="E44" s="154">
        <f>E43</f>
        <v>531</v>
      </c>
      <c r="F44" s="250" t="s">
        <v>108</v>
      </c>
      <c r="G44" s="250"/>
      <c r="H44" s="151">
        <v>30</v>
      </c>
      <c r="I44" s="70"/>
      <c r="J44" s="175">
        <f t="shared" si="0"/>
        <v>15930</v>
      </c>
      <c r="K44" s="70"/>
      <c r="L44" s="179"/>
    </row>
    <row r="45" spans="2:12" ht="33" customHeight="1" x14ac:dyDescent="0.2">
      <c r="B45" s="158">
        <v>14</v>
      </c>
      <c r="C45" s="159" t="s">
        <v>82</v>
      </c>
      <c r="D45" s="160"/>
      <c r="E45" s="152">
        <f>[1]Sheet1!$AG$182</f>
        <v>178</v>
      </c>
      <c r="F45" s="250" t="s">
        <v>109</v>
      </c>
      <c r="G45" s="250"/>
      <c r="H45" s="153">
        <v>200</v>
      </c>
      <c r="I45" s="160"/>
      <c r="J45" s="175">
        <f t="shared" si="0"/>
        <v>35600</v>
      </c>
      <c r="K45" s="160"/>
      <c r="L45" s="179"/>
    </row>
    <row r="46" spans="2:12" ht="39" customHeight="1" x14ac:dyDescent="0.25">
      <c r="B46" s="158">
        <v>15</v>
      </c>
      <c r="C46" s="159" t="s">
        <v>110</v>
      </c>
      <c r="D46" s="161"/>
      <c r="E46" s="152">
        <f>[1]Sheet1!$AH$182</f>
        <v>178</v>
      </c>
      <c r="F46" s="251" t="s">
        <v>111</v>
      </c>
      <c r="G46" s="251"/>
      <c r="H46" s="153">
        <v>150</v>
      </c>
      <c r="I46" s="70"/>
      <c r="J46" s="175">
        <f t="shared" si="0"/>
        <v>26700</v>
      </c>
      <c r="K46" s="70"/>
      <c r="L46" s="179"/>
    </row>
    <row r="47" spans="2:12" ht="52.5" customHeight="1" x14ac:dyDescent="0.25">
      <c r="B47" s="158">
        <v>15.7</v>
      </c>
      <c r="C47" s="159" t="s">
        <v>73</v>
      </c>
      <c r="D47" s="161"/>
      <c r="E47" s="161"/>
      <c r="F47" s="252" t="s">
        <v>112</v>
      </c>
      <c r="G47" s="252"/>
      <c r="H47" s="153">
        <v>850</v>
      </c>
      <c r="I47" s="161"/>
      <c r="J47" s="175">
        <f t="shared" si="0"/>
        <v>0</v>
      </c>
      <c r="K47" s="161"/>
      <c r="L47" s="180"/>
    </row>
    <row r="48" spans="2:12" ht="22.5" customHeight="1" x14ac:dyDescent="0.25">
      <c r="B48" s="162">
        <v>16</v>
      </c>
      <c r="C48" s="163"/>
      <c r="D48" s="161"/>
      <c r="E48" s="161"/>
      <c r="F48" s="253" t="s">
        <v>113</v>
      </c>
      <c r="G48" s="253"/>
      <c r="H48" s="69"/>
      <c r="I48" s="161"/>
      <c r="J48" s="175">
        <f t="shared" si="0"/>
        <v>0</v>
      </c>
      <c r="K48" s="181"/>
      <c r="L48" s="182"/>
    </row>
    <row r="49" spans="2:12" ht="30.75" customHeight="1" x14ac:dyDescent="0.25">
      <c r="B49" s="164">
        <v>16.100000000000001</v>
      </c>
      <c r="C49" s="75" t="s">
        <v>73</v>
      </c>
      <c r="D49" s="157"/>
      <c r="E49" s="211">
        <f>[1]Sheet1!$AP$182</f>
        <v>8</v>
      </c>
      <c r="F49" s="254" t="s">
        <v>114</v>
      </c>
      <c r="G49" s="254"/>
      <c r="H49" s="68">
        <v>150</v>
      </c>
      <c r="I49" s="157"/>
      <c r="J49" s="175">
        <f t="shared" si="0"/>
        <v>1200</v>
      </c>
      <c r="K49" s="181"/>
      <c r="L49" s="182"/>
    </row>
    <row r="50" spans="2:12" ht="27.75" customHeight="1" x14ac:dyDescent="0.2">
      <c r="B50" s="255" t="s">
        <v>115</v>
      </c>
      <c r="C50" s="256"/>
      <c r="D50" s="256"/>
      <c r="E50" s="256"/>
      <c r="F50" s="256"/>
      <c r="G50" s="256"/>
      <c r="H50" s="257"/>
      <c r="I50" s="183"/>
      <c r="J50" s="184">
        <f>SUM(J9:J49)</f>
        <v>1465166</v>
      </c>
      <c r="K50" s="185"/>
      <c r="L50" s="186"/>
    </row>
    <row r="51" spans="2:12" ht="0.75" customHeight="1" x14ac:dyDescent="0.25">
      <c r="B51" s="99"/>
      <c r="C51" s="165"/>
      <c r="D51" s="165"/>
      <c r="E51" s="165"/>
      <c r="F51" s="228"/>
      <c r="G51" s="228"/>
      <c r="H51" s="165"/>
      <c r="L51" s="130"/>
    </row>
    <row r="52" spans="2:12" ht="15" hidden="1" x14ac:dyDescent="0.2">
      <c r="B52" s="99"/>
      <c r="C52" s="166"/>
      <c r="D52" s="166"/>
      <c r="E52" s="166"/>
      <c r="F52" s="228"/>
      <c r="G52" s="228"/>
      <c r="H52" s="166"/>
      <c r="L52" s="130"/>
    </row>
    <row r="53" spans="2:12" ht="15.75" hidden="1" x14ac:dyDescent="0.25">
      <c r="B53" s="99"/>
      <c r="C53" s="165"/>
      <c r="F53" s="228"/>
      <c r="G53" s="228"/>
      <c r="H53" s="165"/>
      <c r="L53" s="130"/>
    </row>
    <row r="54" spans="2:12" ht="15.75" hidden="1" x14ac:dyDescent="0.25">
      <c r="B54" s="99"/>
      <c r="C54" s="165"/>
      <c r="F54" s="228"/>
      <c r="G54" s="228"/>
      <c r="H54" s="165"/>
      <c r="L54" s="130"/>
    </row>
    <row r="55" spans="2:12" ht="15.75" hidden="1" x14ac:dyDescent="0.25">
      <c r="B55" s="99"/>
      <c r="C55" s="165"/>
      <c r="F55" s="228"/>
      <c r="G55" s="228"/>
      <c r="H55" s="165"/>
      <c r="L55" s="130"/>
    </row>
    <row r="56" spans="2:12" ht="15.75" hidden="1" x14ac:dyDescent="0.25">
      <c r="B56" s="99"/>
      <c r="C56" s="165"/>
      <c r="E56" s="165"/>
      <c r="F56" s="228"/>
      <c r="G56" s="228"/>
      <c r="H56" s="165"/>
      <c r="L56" s="130"/>
    </row>
    <row r="57" spans="2:12" ht="15.75" hidden="1" x14ac:dyDescent="0.25">
      <c r="B57" s="99"/>
      <c r="C57" s="165"/>
      <c r="D57" s="165"/>
      <c r="E57" s="165"/>
      <c r="F57" s="228"/>
      <c r="G57" s="228"/>
      <c r="H57" s="165"/>
      <c r="L57" s="130"/>
    </row>
    <row r="58" spans="2:12" ht="15" hidden="1" x14ac:dyDescent="0.2">
      <c r="B58" s="167" t="s">
        <v>116</v>
      </c>
      <c r="C58" s="168"/>
      <c r="D58" s="168"/>
      <c r="E58" s="168"/>
      <c r="F58" s="228"/>
      <c r="G58" s="228"/>
      <c r="H58" s="168"/>
      <c r="I58" s="168"/>
      <c r="J58" s="168"/>
      <c r="K58" s="168"/>
      <c r="L58" s="187"/>
    </row>
    <row r="59" spans="2:12" ht="15" hidden="1" x14ac:dyDescent="0.2">
      <c r="B59" s="169"/>
      <c r="C59" s="170"/>
      <c r="D59" s="170"/>
      <c r="E59" s="170"/>
      <c r="F59" s="228"/>
      <c r="G59" s="228"/>
      <c r="H59" s="171"/>
      <c r="I59" s="188"/>
      <c r="J59" s="188"/>
      <c r="K59" s="188"/>
      <c r="L59" s="189"/>
    </row>
    <row r="60" spans="2:12" ht="15.75" customHeight="1" x14ac:dyDescent="0.2"/>
  </sheetData>
  <mergeCells count="61">
    <mergeCell ref="F2:G2"/>
    <mergeCell ref="F3:G3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2:G42"/>
    <mergeCell ref="F43:G43"/>
    <mergeCell ref="F44:G44"/>
    <mergeCell ref="F48:G48"/>
    <mergeCell ref="F49:G49"/>
    <mergeCell ref="B50:H50"/>
    <mergeCell ref="F51:G51"/>
    <mergeCell ref="F52:G52"/>
    <mergeCell ref="F59:G59"/>
    <mergeCell ref="B2:B4"/>
    <mergeCell ref="C2:C4"/>
    <mergeCell ref="H2:H4"/>
    <mergeCell ref="L2:L4"/>
    <mergeCell ref="D2:E4"/>
    <mergeCell ref="I2:K3"/>
    <mergeCell ref="F53:G53"/>
    <mergeCell ref="F54:G54"/>
    <mergeCell ref="F55:G55"/>
    <mergeCell ref="F45:G45"/>
    <mergeCell ref="F46:G46"/>
    <mergeCell ref="F56:G56"/>
    <mergeCell ref="F57:G57"/>
    <mergeCell ref="F58:G58"/>
    <mergeCell ref="F47:G47"/>
  </mergeCells>
  <printOptions horizontalCentered="1" verticalCentered="1"/>
  <pageMargins left="0.15748031496063" right="0.23622047244094496" top="0.27559055100000002" bottom="0.74803149606299191" header="0.511811023622047" footer="0.31496062992126"/>
  <pageSetup paperSize="9" scale="58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32D9E-CA93-4589-9996-2DF3ADDBB439}">
  <dimension ref="A1:L73"/>
  <sheetViews>
    <sheetView view="pageBreakPreview" zoomScaleNormal="100" workbookViewId="0">
      <selection activeCell="F23" sqref="F23:G23"/>
    </sheetView>
  </sheetViews>
  <sheetFormatPr defaultRowHeight="12.75" x14ac:dyDescent="0.2"/>
  <cols>
    <col min="1" max="1" width="5" customWidth="1"/>
    <col min="2" max="2" width="6.140625" customWidth="1"/>
    <col min="3" max="3" width="7.85546875" customWidth="1"/>
    <col min="4" max="4" width="12.140625" customWidth="1"/>
    <col min="5" max="5" width="12.5703125" customWidth="1"/>
    <col min="7" max="7" width="39.42578125" customWidth="1"/>
    <col min="8" max="8" width="9.28515625" customWidth="1"/>
    <col min="9" max="9" width="10.85546875" customWidth="1"/>
    <col min="10" max="10" width="11.5703125" customWidth="1"/>
    <col min="11" max="11" width="8.5703125" customWidth="1"/>
    <col min="12" max="12" width="15.140625" customWidth="1"/>
  </cols>
  <sheetData>
    <row r="1" spans="1:12" ht="21" customHeight="1" x14ac:dyDescent="0.25">
      <c r="A1" s="54"/>
      <c r="B1" s="324">
        <v>2</v>
      </c>
      <c r="C1" s="324"/>
      <c r="D1" s="324"/>
      <c r="E1" s="324"/>
      <c r="F1" s="324"/>
      <c r="G1" s="324"/>
      <c r="H1" s="324"/>
      <c r="I1" s="324"/>
      <c r="J1" s="324"/>
      <c r="K1" s="324"/>
      <c r="L1" s="324"/>
    </row>
    <row r="2" spans="1:12" ht="21" customHeight="1" x14ac:dyDescent="0.25">
      <c r="A2" s="54"/>
      <c r="B2" s="229" t="s">
        <v>50</v>
      </c>
      <c r="C2" s="232" t="s">
        <v>51</v>
      </c>
      <c r="D2" s="238" t="s">
        <v>52</v>
      </c>
      <c r="E2" s="239"/>
      <c r="F2" s="265" t="s">
        <v>53</v>
      </c>
      <c r="G2" s="266"/>
      <c r="H2" s="232" t="s">
        <v>54</v>
      </c>
      <c r="I2" s="244" t="s">
        <v>55</v>
      </c>
      <c r="J2" s="245"/>
      <c r="K2" s="246"/>
      <c r="L2" s="235" t="s">
        <v>56</v>
      </c>
    </row>
    <row r="3" spans="1:12" ht="21" customHeight="1" x14ac:dyDescent="0.25">
      <c r="A3" s="54"/>
      <c r="B3" s="230"/>
      <c r="C3" s="233"/>
      <c r="D3" s="240"/>
      <c r="E3" s="241"/>
      <c r="F3" s="267" t="s">
        <v>57</v>
      </c>
      <c r="G3" s="268"/>
      <c r="H3" s="233"/>
      <c r="I3" s="247"/>
      <c r="J3" s="248"/>
      <c r="K3" s="249"/>
      <c r="L3" s="236"/>
    </row>
    <row r="4" spans="1:12" ht="21" customHeight="1" x14ac:dyDescent="0.25">
      <c r="A4" s="54"/>
      <c r="B4" s="231"/>
      <c r="C4" s="234"/>
      <c r="D4" s="242"/>
      <c r="E4" s="243"/>
      <c r="F4" s="269" t="s">
        <v>58</v>
      </c>
      <c r="G4" s="270"/>
      <c r="H4" s="234"/>
      <c r="I4" s="109" t="s">
        <v>59</v>
      </c>
      <c r="J4" s="110" t="s">
        <v>60</v>
      </c>
      <c r="K4" s="111"/>
      <c r="L4" s="237"/>
    </row>
    <row r="5" spans="1:12" ht="21" customHeight="1" x14ac:dyDescent="0.25">
      <c r="A5" s="54"/>
      <c r="B5" s="57"/>
      <c r="C5" s="58"/>
      <c r="D5" s="59" t="s">
        <v>59</v>
      </c>
      <c r="E5" s="58" t="s">
        <v>60</v>
      </c>
      <c r="F5" s="60"/>
      <c r="G5" s="61"/>
      <c r="H5" s="58"/>
      <c r="I5" s="112" t="s">
        <v>61</v>
      </c>
      <c r="J5" s="112" t="s">
        <v>62</v>
      </c>
      <c r="K5" s="58" t="s">
        <v>63</v>
      </c>
      <c r="L5" s="113"/>
    </row>
    <row r="6" spans="1:12" ht="21" customHeight="1" x14ac:dyDescent="0.25">
      <c r="A6" s="54"/>
      <c r="B6" s="57"/>
      <c r="C6" s="58"/>
      <c r="D6" s="59" t="s">
        <v>64</v>
      </c>
      <c r="E6" s="58" t="s">
        <v>65</v>
      </c>
      <c r="F6" s="60"/>
      <c r="G6" s="61"/>
      <c r="H6" s="58"/>
      <c r="I6" s="112" t="s">
        <v>66</v>
      </c>
      <c r="J6" s="112" t="s">
        <v>67</v>
      </c>
      <c r="K6" s="58" t="s">
        <v>68</v>
      </c>
      <c r="L6" s="113"/>
    </row>
    <row r="7" spans="1:12" ht="21" customHeight="1" x14ac:dyDescent="0.25">
      <c r="A7" s="54"/>
      <c r="B7" s="57"/>
      <c r="C7" s="58"/>
      <c r="D7" s="59" t="s">
        <v>69</v>
      </c>
      <c r="E7" s="58" t="s">
        <v>70</v>
      </c>
      <c r="F7" s="62"/>
      <c r="G7" s="63"/>
      <c r="H7" s="64"/>
      <c r="I7" s="114" t="s">
        <v>71</v>
      </c>
      <c r="J7" s="114" t="s">
        <v>72</v>
      </c>
      <c r="K7" s="64"/>
      <c r="L7" s="115"/>
    </row>
    <row r="8" spans="1:12" ht="21" customHeight="1" x14ac:dyDescent="0.2">
      <c r="A8" s="54"/>
      <c r="B8" s="65">
        <v>1</v>
      </c>
      <c r="C8" s="66">
        <v>2</v>
      </c>
      <c r="D8" s="66">
        <v>3</v>
      </c>
      <c r="E8" s="66">
        <v>4</v>
      </c>
      <c r="F8" s="271">
        <v>5</v>
      </c>
      <c r="G8" s="272"/>
      <c r="H8" s="66">
        <v>6</v>
      </c>
      <c r="I8" s="66">
        <v>7</v>
      </c>
      <c r="J8" s="66">
        <v>8</v>
      </c>
      <c r="K8" s="66">
        <v>9</v>
      </c>
      <c r="L8" s="116">
        <v>10</v>
      </c>
    </row>
    <row r="9" spans="1:12" ht="21" customHeight="1" x14ac:dyDescent="0.2">
      <c r="A9" s="54"/>
      <c r="B9" s="67"/>
      <c r="C9" s="68"/>
      <c r="D9" s="68"/>
      <c r="E9" s="69"/>
      <c r="F9" s="320" t="s">
        <v>117</v>
      </c>
      <c r="G9" s="321"/>
      <c r="H9" s="69"/>
      <c r="I9" s="68"/>
      <c r="J9" s="117">
        <f>'GST BILL'!J50</f>
        <v>1465166</v>
      </c>
      <c r="K9" s="117"/>
      <c r="L9" s="279" t="s">
        <v>75</v>
      </c>
    </row>
    <row r="10" spans="1:12" ht="30.75" customHeight="1" x14ac:dyDescent="0.2">
      <c r="A10" s="54"/>
      <c r="B10" s="67">
        <v>16.2</v>
      </c>
      <c r="C10" s="70" t="s">
        <v>73</v>
      </c>
      <c r="D10" s="68"/>
      <c r="E10" s="71">
        <f>[1]Sheet1!$AQ$182</f>
        <v>6</v>
      </c>
      <c r="F10" s="254" t="s">
        <v>118</v>
      </c>
      <c r="G10" s="254"/>
      <c r="H10" s="69">
        <v>300</v>
      </c>
      <c r="I10" s="68"/>
      <c r="J10" s="117">
        <f>E10*H10</f>
        <v>1800</v>
      </c>
      <c r="K10" s="118"/>
      <c r="L10" s="280"/>
    </row>
    <row r="11" spans="1:12" ht="33" customHeight="1" x14ac:dyDescent="0.2">
      <c r="A11" s="54"/>
      <c r="B11" s="67">
        <v>16.3</v>
      </c>
      <c r="C11" s="70" t="s">
        <v>73</v>
      </c>
      <c r="D11" s="68"/>
      <c r="E11" s="71">
        <v>13</v>
      </c>
      <c r="F11" s="254" t="s">
        <v>119</v>
      </c>
      <c r="G11" s="254"/>
      <c r="H11" s="69">
        <v>18</v>
      </c>
      <c r="I11" s="68"/>
      <c r="J11" s="117">
        <f>E11*H11</f>
        <v>234</v>
      </c>
      <c r="K11" s="118"/>
      <c r="L11" s="280"/>
    </row>
    <row r="12" spans="1:12" ht="21" customHeight="1" x14ac:dyDescent="0.2">
      <c r="A12" s="54"/>
      <c r="B12" s="67">
        <v>17</v>
      </c>
      <c r="C12" s="68"/>
      <c r="D12" s="68"/>
      <c r="E12" s="69"/>
      <c r="F12" s="322" t="s">
        <v>120</v>
      </c>
      <c r="G12" s="323"/>
      <c r="H12" s="69"/>
      <c r="I12" s="68"/>
      <c r="J12" s="117"/>
      <c r="K12" s="118"/>
      <c r="L12" s="281"/>
    </row>
    <row r="13" spans="1:12" ht="21" customHeight="1" x14ac:dyDescent="0.2">
      <c r="A13" s="54"/>
      <c r="B13" s="67">
        <v>17.100000000000001</v>
      </c>
      <c r="C13" s="68" t="s">
        <v>73</v>
      </c>
      <c r="D13" s="26"/>
      <c r="E13" s="71">
        <f>[1]Sheet1!$AI$182</f>
        <v>369</v>
      </c>
      <c r="F13" s="317" t="s">
        <v>121</v>
      </c>
      <c r="G13" s="317"/>
      <c r="H13" s="69">
        <v>16</v>
      </c>
      <c r="I13" s="68"/>
      <c r="J13" s="117">
        <f>H13*E13</f>
        <v>5904</v>
      </c>
      <c r="K13" s="117"/>
      <c r="L13" s="119"/>
    </row>
    <row r="14" spans="1:12" ht="21" customHeight="1" x14ac:dyDescent="0.2">
      <c r="A14" s="54"/>
      <c r="B14" s="72">
        <v>17.2</v>
      </c>
      <c r="C14" s="68" t="s">
        <v>73</v>
      </c>
      <c r="D14" s="73"/>
      <c r="E14" s="74">
        <f>[1]Sheet1!$AJ$182</f>
        <v>272</v>
      </c>
      <c r="F14" s="317" t="s">
        <v>122</v>
      </c>
      <c r="G14" s="317"/>
      <c r="H14" s="68">
        <v>40</v>
      </c>
      <c r="I14" s="120"/>
      <c r="J14" s="117">
        <f t="shared" ref="J14:J24" si="0">H14*E14</f>
        <v>10880</v>
      </c>
      <c r="K14" s="121"/>
      <c r="L14" s="122"/>
    </row>
    <row r="15" spans="1:12" ht="21" customHeight="1" x14ac:dyDescent="0.2">
      <c r="A15" s="54"/>
      <c r="B15" s="67">
        <v>17.3</v>
      </c>
      <c r="C15" s="68" t="s">
        <v>73</v>
      </c>
      <c r="D15" s="73"/>
      <c r="E15" s="74">
        <f>[1]Sheet1!$AK$182</f>
        <v>12</v>
      </c>
      <c r="F15" s="317" t="s">
        <v>123</v>
      </c>
      <c r="G15" s="317"/>
      <c r="H15" s="68">
        <v>68</v>
      </c>
      <c r="I15" s="120"/>
      <c r="J15" s="117">
        <f t="shared" si="0"/>
        <v>816</v>
      </c>
      <c r="K15" s="123"/>
      <c r="L15" s="124"/>
    </row>
    <row r="16" spans="1:12" ht="21" customHeight="1" x14ac:dyDescent="0.2">
      <c r="A16" s="54"/>
      <c r="B16" s="67">
        <v>17.399999999999999</v>
      </c>
      <c r="C16" s="68" t="s">
        <v>73</v>
      </c>
      <c r="D16" s="73"/>
      <c r="E16" s="74">
        <f>E15+E14+E13</f>
        <v>653</v>
      </c>
      <c r="F16" s="318" t="s">
        <v>124</v>
      </c>
      <c r="G16" s="319"/>
      <c r="H16" s="68">
        <v>12</v>
      </c>
      <c r="I16" s="120"/>
      <c r="J16" s="117">
        <f t="shared" si="0"/>
        <v>7836</v>
      </c>
      <c r="K16" s="123"/>
      <c r="L16" s="124"/>
    </row>
    <row r="17" spans="1:12" ht="21" customHeight="1" x14ac:dyDescent="0.2">
      <c r="A17" s="54"/>
      <c r="B17" s="72">
        <v>17.5</v>
      </c>
      <c r="C17" s="68" t="s">
        <v>73</v>
      </c>
      <c r="D17" s="73"/>
      <c r="E17" s="74">
        <f>[1]Sheet1!$AL$182</f>
        <v>213</v>
      </c>
      <c r="F17" s="308" t="s">
        <v>125</v>
      </c>
      <c r="G17" s="308"/>
      <c r="H17" s="75">
        <v>10</v>
      </c>
      <c r="I17" s="125"/>
      <c r="J17" s="117">
        <f t="shared" si="0"/>
        <v>2130</v>
      </c>
      <c r="K17" s="123"/>
      <c r="L17" s="124"/>
    </row>
    <row r="18" spans="1:12" ht="21" customHeight="1" x14ac:dyDescent="0.2">
      <c r="A18" s="54"/>
      <c r="B18" s="67">
        <v>17.600000000000001</v>
      </c>
      <c r="C18" s="68" t="s">
        <v>73</v>
      </c>
      <c r="D18" s="75"/>
      <c r="E18" s="74">
        <f>[1]Sheet1!$AM$182</f>
        <v>284</v>
      </c>
      <c r="F18" s="308" t="s">
        <v>126</v>
      </c>
      <c r="G18" s="308"/>
      <c r="H18" s="68">
        <v>17</v>
      </c>
      <c r="I18" s="120"/>
      <c r="J18" s="117">
        <f t="shared" si="0"/>
        <v>4828</v>
      </c>
      <c r="K18" s="121"/>
      <c r="L18" s="122"/>
    </row>
    <row r="19" spans="1:12" ht="21" customHeight="1" x14ac:dyDescent="0.2">
      <c r="A19" s="54"/>
      <c r="B19" s="67">
        <v>17.7</v>
      </c>
      <c r="C19" s="68" t="s">
        <v>73</v>
      </c>
      <c r="D19" s="75"/>
      <c r="E19" s="74">
        <v>0</v>
      </c>
      <c r="F19" s="308" t="s">
        <v>127</v>
      </c>
      <c r="G19" s="308"/>
      <c r="H19" s="68">
        <v>20</v>
      </c>
      <c r="I19" s="120"/>
      <c r="J19" s="117">
        <f t="shared" si="0"/>
        <v>0</v>
      </c>
      <c r="K19" s="121"/>
      <c r="L19" s="122"/>
    </row>
    <row r="20" spans="1:12" ht="21" customHeight="1" x14ac:dyDescent="0.2">
      <c r="A20" s="54"/>
      <c r="B20" s="72">
        <v>17.8</v>
      </c>
      <c r="C20" s="68" t="s">
        <v>73</v>
      </c>
      <c r="D20" s="75"/>
      <c r="E20" s="74">
        <f>E17+E19+E18</f>
        <v>497</v>
      </c>
      <c r="F20" s="315" t="s">
        <v>128</v>
      </c>
      <c r="G20" s="302"/>
      <c r="H20" s="68">
        <v>12</v>
      </c>
      <c r="I20" s="120"/>
      <c r="J20" s="117">
        <f t="shared" si="0"/>
        <v>5964</v>
      </c>
      <c r="K20" s="121"/>
      <c r="L20" s="122"/>
    </row>
    <row r="21" spans="1:12" ht="21" customHeight="1" x14ac:dyDescent="0.2">
      <c r="A21" s="54"/>
      <c r="B21" s="76">
        <v>18</v>
      </c>
      <c r="C21" s="75"/>
      <c r="D21" s="75"/>
      <c r="E21" s="68"/>
      <c r="F21" s="316" t="s">
        <v>129</v>
      </c>
      <c r="G21" s="316"/>
      <c r="H21" s="66"/>
      <c r="I21" s="77"/>
      <c r="J21" s="117">
        <f t="shared" si="0"/>
        <v>0</v>
      </c>
      <c r="K21" s="126"/>
      <c r="L21" s="127"/>
    </row>
    <row r="22" spans="1:12" ht="45" customHeight="1" x14ac:dyDescent="0.2">
      <c r="A22" s="54"/>
      <c r="B22" s="78">
        <v>18.100000000000001</v>
      </c>
      <c r="C22" s="79" t="s">
        <v>73</v>
      </c>
      <c r="D22" s="80"/>
      <c r="E22" s="79"/>
      <c r="F22" s="292" t="s">
        <v>130</v>
      </c>
      <c r="G22" s="292"/>
      <c r="H22" s="79">
        <v>250</v>
      </c>
      <c r="I22" s="80"/>
      <c r="J22" s="117">
        <f t="shared" si="0"/>
        <v>0</v>
      </c>
      <c r="K22" s="80"/>
      <c r="L22" s="128"/>
    </row>
    <row r="23" spans="1:12" ht="46.5" customHeight="1" x14ac:dyDescent="0.2">
      <c r="A23" s="54"/>
      <c r="B23" s="67">
        <v>18.2</v>
      </c>
      <c r="C23" s="79" t="s">
        <v>73</v>
      </c>
      <c r="D23" s="75"/>
      <c r="E23" s="74">
        <f>[1]Sheet1!$AO$182</f>
        <v>63</v>
      </c>
      <c r="F23" s="292" t="s">
        <v>131</v>
      </c>
      <c r="G23" s="292"/>
      <c r="H23" s="68">
        <v>450</v>
      </c>
      <c r="I23" s="75"/>
      <c r="J23" s="117">
        <f t="shared" si="0"/>
        <v>28350</v>
      </c>
      <c r="K23" s="75"/>
      <c r="L23" s="129"/>
    </row>
    <row r="24" spans="1:12" ht="46.5" customHeight="1" x14ac:dyDescent="0.2">
      <c r="A24" s="54"/>
      <c r="B24" s="81">
        <v>18.3</v>
      </c>
      <c r="C24" s="82" t="s">
        <v>73</v>
      </c>
      <c r="D24" s="83"/>
      <c r="E24" s="84">
        <f>E23</f>
        <v>63</v>
      </c>
      <c r="F24" s="292" t="s">
        <v>132</v>
      </c>
      <c r="G24" s="292"/>
      <c r="H24" s="85">
        <v>55</v>
      </c>
      <c r="I24" s="83"/>
      <c r="J24" s="117">
        <f t="shared" si="0"/>
        <v>3465</v>
      </c>
      <c r="K24" s="75"/>
      <c r="L24" s="129"/>
    </row>
    <row r="25" spans="1:12" ht="18" customHeight="1" x14ac:dyDescent="0.2">
      <c r="A25" s="54"/>
      <c r="B25" s="293" t="s">
        <v>133</v>
      </c>
      <c r="C25" s="294"/>
      <c r="D25" s="294"/>
      <c r="E25" s="294"/>
      <c r="F25" s="294"/>
      <c r="G25" s="294"/>
      <c r="H25" s="295" t="s">
        <v>134</v>
      </c>
      <c r="I25" s="295"/>
      <c r="J25" s="295"/>
      <c r="K25" s="296">
        <f>SUM(J9:J24)</f>
        <v>1537373</v>
      </c>
      <c r="L25" s="297"/>
    </row>
    <row r="26" spans="1:12" ht="18" customHeight="1" x14ac:dyDescent="0.2">
      <c r="A26" s="54"/>
      <c r="B26" s="300" t="s">
        <v>233</v>
      </c>
      <c r="C26" s="301"/>
      <c r="D26" s="301"/>
      <c r="E26" s="301"/>
      <c r="F26" s="301"/>
      <c r="G26" s="302"/>
      <c r="H26" s="303" t="s">
        <v>232</v>
      </c>
      <c r="I26" s="304"/>
      <c r="J26" s="305"/>
      <c r="K26" s="296">
        <f>(K25*20)/100</f>
        <v>307474.59999999998</v>
      </c>
      <c r="L26" s="306"/>
    </row>
    <row r="27" spans="1:12" ht="18" customHeight="1" x14ac:dyDescent="0.2">
      <c r="A27" s="54"/>
      <c r="B27" s="307" t="s">
        <v>135</v>
      </c>
      <c r="C27" s="308"/>
      <c r="D27" s="308"/>
      <c r="E27" s="308"/>
      <c r="F27" s="308"/>
      <c r="G27" s="308"/>
      <c r="H27" s="309" t="s">
        <v>136</v>
      </c>
      <c r="I27" s="310"/>
      <c r="J27" s="311"/>
      <c r="K27" s="296">
        <f>K25+K26</f>
        <v>1844847.6</v>
      </c>
      <c r="L27" s="306"/>
    </row>
    <row r="28" spans="1:12" ht="18" customHeight="1" x14ac:dyDescent="0.2">
      <c r="A28" s="54"/>
      <c r="B28" s="86"/>
      <c r="C28" s="87"/>
      <c r="D28" s="87"/>
      <c r="E28" s="87"/>
      <c r="F28" s="87"/>
      <c r="G28" s="87"/>
      <c r="H28" s="312" t="s">
        <v>137</v>
      </c>
      <c r="I28" s="312"/>
      <c r="J28" s="312"/>
      <c r="K28" s="303">
        <f>K27*0.18</f>
        <v>332072.56800000003</v>
      </c>
      <c r="L28" s="297"/>
    </row>
    <row r="29" spans="1:12" ht="18" customHeight="1" x14ac:dyDescent="0.2">
      <c r="A29" s="54"/>
      <c r="B29" s="86"/>
      <c r="C29" s="87"/>
      <c r="D29" s="87"/>
      <c r="E29" s="87"/>
      <c r="F29" s="87"/>
      <c r="G29" s="88"/>
      <c r="H29" s="303" t="s">
        <v>138</v>
      </c>
      <c r="I29" s="304"/>
      <c r="J29" s="305"/>
      <c r="K29" s="309">
        <v>0</v>
      </c>
      <c r="L29" s="313"/>
    </row>
    <row r="30" spans="1:12" ht="18" customHeight="1" x14ac:dyDescent="0.2">
      <c r="A30" s="54"/>
      <c r="B30" s="89"/>
      <c r="C30" s="90"/>
      <c r="D30" s="90"/>
      <c r="E30" s="90"/>
      <c r="F30" s="90"/>
      <c r="G30" s="91"/>
      <c r="H30" s="271" t="s">
        <v>139</v>
      </c>
      <c r="I30" s="314"/>
      <c r="J30" s="272"/>
      <c r="K30" s="298">
        <f>SUM(K27:K29)</f>
        <v>2176920.1680000001</v>
      </c>
      <c r="L30" s="299"/>
    </row>
    <row r="31" spans="1:12" ht="18" customHeight="1" x14ac:dyDescent="0.2">
      <c r="A31" s="54"/>
      <c r="B31" s="282"/>
      <c r="C31" s="283"/>
      <c r="D31" s="283"/>
      <c r="E31" s="283"/>
      <c r="F31" s="283"/>
      <c r="G31" s="283"/>
      <c r="H31" s="283"/>
      <c r="I31" s="283"/>
      <c r="J31" s="283"/>
      <c r="K31" s="283"/>
      <c r="L31" s="284"/>
    </row>
    <row r="32" spans="1:12" ht="14.25" x14ac:dyDescent="0.2">
      <c r="A32" s="54"/>
      <c r="B32" s="92"/>
      <c r="C32" s="54"/>
      <c r="D32" s="54"/>
      <c r="E32" s="54"/>
      <c r="F32" s="54"/>
      <c r="G32" s="93"/>
      <c r="H32" s="54"/>
      <c r="I32" s="54"/>
      <c r="J32" s="54"/>
      <c r="K32" s="54"/>
      <c r="L32" s="130"/>
    </row>
    <row r="33" spans="1:12" ht="14.25" x14ac:dyDescent="0.2">
      <c r="A33" s="54"/>
      <c r="B33" s="285" t="s">
        <v>140</v>
      </c>
      <c r="C33" s="286"/>
      <c r="D33" s="54"/>
      <c r="E33" s="54"/>
      <c r="F33" s="54"/>
      <c r="G33" s="93"/>
      <c r="H33" s="54"/>
      <c r="I33" s="54"/>
      <c r="J33" s="54"/>
      <c r="K33" s="54"/>
      <c r="L33" s="130"/>
    </row>
    <row r="34" spans="1:12" ht="14.25" x14ac:dyDescent="0.2">
      <c r="A34" s="54"/>
      <c r="B34" s="94"/>
      <c r="C34" s="95"/>
      <c r="D34" s="54"/>
      <c r="E34" s="54"/>
      <c r="F34" s="54"/>
      <c r="G34" s="93"/>
      <c r="H34" s="54"/>
      <c r="I34" s="54"/>
      <c r="J34" s="54"/>
      <c r="K34" s="54"/>
      <c r="L34" s="130"/>
    </row>
    <row r="35" spans="1:12" ht="14.25" x14ac:dyDescent="0.2">
      <c r="A35" s="54"/>
      <c r="B35" s="94"/>
      <c r="C35" s="95"/>
      <c r="D35" s="54"/>
      <c r="E35" s="54"/>
      <c r="F35" s="54"/>
      <c r="G35" s="93"/>
      <c r="H35" s="54"/>
      <c r="I35" s="54"/>
      <c r="J35" s="54"/>
      <c r="K35" s="54"/>
      <c r="L35" s="130"/>
    </row>
    <row r="36" spans="1:12" ht="14.25" x14ac:dyDescent="0.2">
      <c r="A36" s="54"/>
      <c r="B36" s="94"/>
      <c r="C36" s="95"/>
      <c r="D36" s="54"/>
      <c r="E36" s="54"/>
      <c r="F36" s="54"/>
      <c r="G36" s="93"/>
      <c r="H36" s="54"/>
      <c r="I36" s="54"/>
      <c r="J36" s="54"/>
      <c r="K36" s="54"/>
      <c r="L36" s="130"/>
    </row>
    <row r="37" spans="1:12" ht="14.25" x14ac:dyDescent="0.2">
      <c r="A37" s="54"/>
      <c r="B37" s="94"/>
      <c r="C37" s="95"/>
      <c r="D37" s="54"/>
      <c r="E37" s="54"/>
      <c r="F37" s="54"/>
      <c r="G37" s="93"/>
      <c r="H37" s="54"/>
      <c r="I37" s="54"/>
      <c r="J37" s="54"/>
      <c r="K37" s="54"/>
      <c r="L37" s="130"/>
    </row>
    <row r="38" spans="1:12" ht="14.25" x14ac:dyDescent="0.2">
      <c r="A38" s="54"/>
      <c r="B38" s="94"/>
      <c r="C38" s="95"/>
      <c r="D38" s="54"/>
      <c r="E38" s="54"/>
      <c r="F38" s="54"/>
      <c r="G38" s="93"/>
      <c r="H38" s="54"/>
      <c r="I38" s="54"/>
      <c r="J38" s="54"/>
      <c r="K38" s="54"/>
      <c r="L38" s="130"/>
    </row>
    <row r="39" spans="1:12" ht="14.25" x14ac:dyDescent="0.2">
      <c r="A39" s="54"/>
      <c r="B39" s="94"/>
      <c r="C39" s="95"/>
      <c r="D39" s="54"/>
      <c r="E39" s="54"/>
      <c r="F39" s="54"/>
      <c r="G39" s="93"/>
      <c r="H39" s="54"/>
      <c r="I39" s="54"/>
      <c r="J39" s="54"/>
      <c r="K39" s="54"/>
      <c r="L39" s="130"/>
    </row>
    <row r="40" spans="1:12" ht="14.25" x14ac:dyDescent="0.2">
      <c r="A40" s="54"/>
      <c r="B40" s="94"/>
      <c r="C40" s="95"/>
      <c r="D40" s="54"/>
      <c r="E40" s="54"/>
      <c r="F40" s="54"/>
      <c r="G40" s="93"/>
      <c r="H40" s="54"/>
      <c r="I40" s="54"/>
      <c r="J40" s="54"/>
      <c r="K40" s="54"/>
      <c r="L40" s="130"/>
    </row>
    <row r="41" spans="1:12" ht="14.25" x14ac:dyDescent="0.2">
      <c r="A41" s="54"/>
      <c r="B41" s="94"/>
      <c r="C41" s="95"/>
      <c r="D41" s="54"/>
      <c r="E41" s="54"/>
      <c r="F41" s="54"/>
      <c r="G41" s="93"/>
      <c r="H41" s="54"/>
      <c r="I41" s="54"/>
      <c r="J41" s="54"/>
      <c r="K41" s="54"/>
      <c r="L41" s="130"/>
    </row>
    <row r="42" spans="1:12" ht="14.25" x14ac:dyDescent="0.2">
      <c r="A42" s="54"/>
      <c r="B42" s="94"/>
      <c r="C42" s="95"/>
      <c r="D42" s="54"/>
      <c r="E42" s="54"/>
      <c r="F42" s="54"/>
      <c r="G42" s="93"/>
      <c r="H42" s="54"/>
      <c r="I42" s="54"/>
      <c r="J42" s="54"/>
      <c r="K42" s="54"/>
      <c r="L42" s="130"/>
    </row>
    <row r="43" spans="1:12" ht="14.25" x14ac:dyDescent="0.2">
      <c r="A43" s="54"/>
      <c r="B43" s="94"/>
      <c r="C43" s="95"/>
      <c r="D43" s="54"/>
      <c r="E43" s="54"/>
      <c r="F43" s="54"/>
      <c r="G43" s="93"/>
      <c r="H43" s="54"/>
      <c r="I43" s="54"/>
      <c r="J43" s="54"/>
      <c r="K43" s="54"/>
      <c r="L43" s="130"/>
    </row>
    <row r="44" spans="1:12" ht="14.25" x14ac:dyDescent="0.2">
      <c r="A44" s="54"/>
      <c r="B44" s="94"/>
      <c r="C44" s="95"/>
      <c r="D44" s="54"/>
      <c r="E44" s="54"/>
      <c r="F44" s="54"/>
      <c r="G44" s="93"/>
      <c r="H44" s="54"/>
      <c r="I44" s="54"/>
      <c r="J44" s="54"/>
      <c r="K44" s="54"/>
      <c r="L44" s="130"/>
    </row>
    <row r="45" spans="1:12" ht="14.25" x14ac:dyDescent="0.2">
      <c r="A45" s="54"/>
      <c r="B45" s="92"/>
      <c r="C45" s="54"/>
      <c r="D45" s="54"/>
      <c r="E45" s="54"/>
      <c r="F45" s="54"/>
      <c r="G45" s="96"/>
      <c r="H45" s="54"/>
      <c r="I45" s="54"/>
      <c r="J45" s="54"/>
      <c r="K45" s="54"/>
      <c r="L45" s="130"/>
    </row>
    <row r="46" spans="1:12" ht="14.25" x14ac:dyDescent="0.2">
      <c r="A46" s="54"/>
      <c r="B46" s="92"/>
      <c r="C46" s="54"/>
      <c r="D46" s="54"/>
      <c r="E46" s="54"/>
      <c r="F46" s="54"/>
      <c r="G46" s="93"/>
      <c r="H46" s="54"/>
      <c r="I46" s="54"/>
      <c r="J46" s="54"/>
      <c r="K46" s="54"/>
      <c r="L46" s="130"/>
    </row>
    <row r="47" spans="1:12" ht="14.25" x14ac:dyDescent="0.2">
      <c r="A47" s="54"/>
      <c r="B47" s="285"/>
      <c r="C47" s="286"/>
      <c r="D47" s="54"/>
      <c r="E47" s="54"/>
      <c r="F47" s="54"/>
      <c r="G47" s="93"/>
      <c r="H47" s="54"/>
      <c r="I47" s="54"/>
      <c r="J47" s="54"/>
      <c r="K47" s="54"/>
      <c r="L47" s="130"/>
    </row>
    <row r="48" spans="1:12" ht="14.25" x14ac:dyDescent="0.2">
      <c r="A48" s="54"/>
      <c r="B48" s="97"/>
      <c r="C48" s="98"/>
      <c r="D48" s="98"/>
      <c r="E48" s="98"/>
      <c r="F48" s="98"/>
      <c r="G48" s="98"/>
      <c r="H48" s="98"/>
      <c r="I48" s="98"/>
      <c r="J48" s="98"/>
      <c r="K48" s="98"/>
      <c r="L48" s="131"/>
    </row>
    <row r="49" spans="1:12" ht="15.75" x14ac:dyDescent="0.25">
      <c r="A49" s="54"/>
      <c r="B49" s="99"/>
      <c r="C49" s="100"/>
      <c r="D49" s="101"/>
      <c r="E49" s="102"/>
      <c r="F49" s="28"/>
      <c r="G49" s="100"/>
      <c r="H49" s="100"/>
      <c r="I49" s="132"/>
      <c r="J49" s="132"/>
      <c r="K49" s="54"/>
      <c r="L49" s="130"/>
    </row>
    <row r="50" spans="1:12" ht="16.5" x14ac:dyDescent="0.25">
      <c r="A50" s="54"/>
      <c r="B50" s="287" t="s">
        <v>141</v>
      </c>
      <c r="C50" s="288"/>
      <c r="D50" s="288"/>
      <c r="E50" s="288"/>
      <c r="F50" s="288"/>
      <c r="G50" s="288"/>
      <c r="H50" s="288"/>
      <c r="I50" s="288"/>
      <c r="J50" s="288"/>
      <c r="K50" s="288"/>
      <c r="L50" s="133"/>
    </row>
    <row r="51" spans="1:12" ht="16.5" x14ac:dyDescent="0.25">
      <c r="A51" s="54"/>
      <c r="B51" s="103"/>
      <c r="C51" s="104"/>
      <c r="D51" s="104"/>
      <c r="E51" s="104"/>
      <c r="F51" s="104"/>
      <c r="G51" s="104"/>
      <c r="H51" s="104"/>
      <c r="I51" s="105"/>
      <c r="J51" s="105"/>
      <c r="K51" s="105"/>
      <c r="L51" s="134"/>
    </row>
    <row r="52" spans="1:12" ht="16.5" x14ac:dyDescent="0.25">
      <c r="A52" s="54"/>
      <c r="B52" s="289" t="s">
        <v>142</v>
      </c>
      <c r="C52" s="290"/>
      <c r="D52" s="290"/>
      <c r="E52" s="290"/>
      <c r="F52" s="290"/>
      <c r="G52" s="290"/>
      <c r="H52" s="290"/>
      <c r="I52" s="290"/>
      <c r="J52" s="290"/>
      <c r="K52" s="290"/>
      <c r="L52" s="291"/>
    </row>
    <row r="53" spans="1:12" ht="16.5" x14ac:dyDescent="0.25">
      <c r="A53" s="54"/>
      <c r="B53" s="289" t="s">
        <v>143</v>
      </c>
      <c r="C53" s="290"/>
      <c r="D53" s="290"/>
      <c r="E53" s="290"/>
      <c r="F53" s="290"/>
      <c r="G53" s="290"/>
      <c r="H53" s="290"/>
      <c r="I53" s="290"/>
      <c r="J53" s="290"/>
      <c r="K53" s="290"/>
      <c r="L53" s="291"/>
    </row>
    <row r="54" spans="1:12" ht="16.5" x14ac:dyDescent="0.25">
      <c r="A54" s="54"/>
      <c r="B54" s="275" t="s">
        <v>144</v>
      </c>
      <c r="C54" s="276"/>
      <c r="D54" s="276"/>
      <c r="E54" s="276"/>
      <c r="F54" s="276"/>
      <c r="G54" s="276"/>
      <c r="H54" s="276"/>
      <c r="I54" s="276"/>
      <c r="J54" s="276"/>
      <c r="K54" s="276"/>
      <c r="L54" s="277"/>
    </row>
    <row r="55" spans="1:12" ht="16.5" x14ac:dyDescent="0.25">
      <c r="A55" s="54"/>
      <c r="B55" s="103"/>
      <c r="C55" s="104"/>
      <c r="D55" s="104"/>
      <c r="E55" s="104"/>
      <c r="F55" s="104"/>
      <c r="G55" s="104"/>
      <c r="H55" s="104"/>
      <c r="I55" s="105"/>
      <c r="J55" s="105"/>
      <c r="K55" s="105"/>
      <c r="L55" s="134"/>
    </row>
    <row r="56" spans="1:12" ht="16.5" x14ac:dyDescent="0.25">
      <c r="A56" s="54"/>
      <c r="B56" s="103"/>
      <c r="C56" s="104"/>
      <c r="D56" s="104"/>
      <c r="E56" s="104"/>
      <c r="F56" s="104"/>
      <c r="G56" s="104"/>
      <c r="H56" s="104"/>
      <c r="I56" s="105"/>
      <c r="J56" s="105"/>
      <c r="K56" s="105"/>
      <c r="L56" s="134"/>
    </row>
    <row r="57" spans="1:12" ht="16.5" x14ac:dyDescent="0.25">
      <c r="A57" s="54"/>
      <c r="B57" s="103"/>
      <c r="C57" s="104"/>
      <c r="D57" s="105" t="s">
        <v>145</v>
      </c>
      <c r="E57" s="105"/>
      <c r="F57" s="105"/>
      <c r="G57" s="104"/>
      <c r="H57" s="104"/>
      <c r="I57" s="105"/>
      <c r="J57" s="105"/>
      <c r="K57" s="105"/>
      <c r="L57" s="134"/>
    </row>
    <row r="58" spans="1:12" ht="16.5" x14ac:dyDescent="0.25">
      <c r="A58" s="54"/>
      <c r="B58" s="103"/>
      <c r="C58" s="105"/>
      <c r="D58" s="105" t="s">
        <v>146</v>
      </c>
      <c r="E58" s="105"/>
      <c r="F58" s="105"/>
      <c r="G58" s="104"/>
      <c r="H58" s="104"/>
      <c r="I58" s="105"/>
      <c r="J58" s="105"/>
      <c r="K58" s="105"/>
      <c r="L58" s="134"/>
    </row>
    <row r="59" spans="1:12" ht="16.5" x14ac:dyDescent="0.25">
      <c r="A59" s="54"/>
      <c r="B59" s="103"/>
      <c r="C59" s="278"/>
      <c r="D59" s="278"/>
      <c r="E59" s="105"/>
      <c r="F59" s="105"/>
      <c r="G59" s="104"/>
      <c r="H59" s="104"/>
      <c r="I59" s="105"/>
      <c r="J59" s="105"/>
      <c r="K59" s="105"/>
      <c r="L59" s="134"/>
    </row>
    <row r="60" spans="1:12" ht="16.5" x14ac:dyDescent="0.25">
      <c r="A60" s="54"/>
      <c r="B60" s="103"/>
      <c r="C60" s="105"/>
      <c r="D60" s="105"/>
      <c r="E60" s="106"/>
      <c r="F60" s="107"/>
      <c r="G60" s="107" t="s">
        <v>147</v>
      </c>
      <c r="H60" s="104"/>
      <c r="I60" s="105"/>
      <c r="J60" s="105"/>
      <c r="K60" s="105"/>
      <c r="L60" s="134"/>
    </row>
    <row r="61" spans="1:12" ht="16.5" x14ac:dyDescent="0.25">
      <c r="A61" s="54"/>
      <c r="B61" s="103"/>
      <c r="C61" s="108"/>
      <c r="D61" s="104"/>
      <c r="E61" s="104"/>
      <c r="F61" s="106"/>
      <c r="G61" s="104"/>
      <c r="H61" s="104"/>
      <c r="I61" s="105"/>
      <c r="J61" s="105"/>
      <c r="K61" s="105"/>
      <c r="L61" s="134"/>
    </row>
    <row r="62" spans="1:12" ht="16.5" x14ac:dyDescent="0.25">
      <c r="A62" s="54"/>
      <c r="B62" s="103"/>
      <c r="C62" s="108"/>
      <c r="D62" s="108"/>
      <c r="E62" s="104"/>
      <c r="F62" s="104"/>
      <c r="G62" s="104"/>
      <c r="H62" s="104"/>
      <c r="I62" s="105"/>
      <c r="J62" s="105"/>
      <c r="K62" s="105"/>
      <c r="L62" s="134"/>
    </row>
    <row r="63" spans="1:12" ht="16.5" x14ac:dyDescent="0.25">
      <c r="A63" s="54"/>
      <c r="B63" s="103"/>
      <c r="C63" s="108"/>
      <c r="D63" s="108"/>
      <c r="E63" s="104"/>
      <c r="F63" s="104"/>
      <c r="G63" s="104"/>
      <c r="H63" s="104"/>
      <c r="I63" s="105"/>
      <c r="J63" s="105"/>
      <c r="K63" s="105"/>
      <c r="L63" s="134"/>
    </row>
    <row r="64" spans="1:12" ht="16.5" x14ac:dyDescent="0.25">
      <c r="A64" s="54"/>
      <c r="B64" s="103"/>
      <c r="C64" s="104"/>
      <c r="D64" s="105" t="s">
        <v>145</v>
      </c>
      <c r="E64" s="105"/>
      <c r="F64" s="105"/>
      <c r="G64" s="104"/>
      <c r="H64" s="104"/>
      <c r="I64" s="105"/>
      <c r="J64" s="105"/>
      <c r="K64" s="105"/>
      <c r="L64" s="134"/>
    </row>
    <row r="65" spans="1:12" ht="16.5" x14ac:dyDescent="0.25">
      <c r="A65" s="54"/>
      <c r="B65" s="103"/>
      <c r="C65" s="105"/>
      <c r="D65" s="105" t="s">
        <v>148</v>
      </c>
      <c r="E65" s="105"/>
      <c r="F65" s="105"/>
      <c r="G65" s="104"/>
      <c r="H65" s="105"/>
      <c r="I65" s="105"/>
      <c r="J65" s="105"/>
      <c r="K65" s="105"/>
      <c r="L65" s="134"/>
    </row>
    <row r="66" spans="1:12" ht="16.5" x14ac:dyDescent="0.25">
      <c r="A66" s="54"/>
      <c r="B66" s="103"/>
      <c r="C66" s="104"/>
      <c r="D66" s="104"/>
      <c r="E66" s="104"/>
      <c r="F66" s="135"/>
      <c r="G66" s="104"/>
      <c r="H66" s="104"/>
      <c r="I66" s="105"/>
      <c r="J66" s="105"/>
      <c r="K66" s="105"/>
      <c r="L66" s="134"/>
    </row>
    <row r="67" spans="1:12" ht="16.5" x14ac:dyDescent="0.25">
      <c r="A67" s="54"/>
      <c r="B67" s="103"/>
      <c r="C67" s="104"/>
      <c r="D67" s="104"/>
      <c r="E67" s="104"/>
      <c r="F67" s="108"/>
      <c r="G67" s="104"/>
      <c r="H67" s="104"/>
      <c r="I67" s="105"/>
      <c r="J67" s="105"/>
      <c r="K67" s="105"/>
      <c r="L67" s="134"/>
    </row>
    <row r="68" spans="1:12" ht="16.5" x14ac:dyDescent="0.25">
      <c r="A68" s="54"/>
      <c r="B68" s="103"/>
      <c r="C68" s="104"/>
      <c r="D68" s="105"/>
      <c r="E68" s="105"/>
      <c r="F68" s="104"/>
      <c r="G68" s="104"/>
      <c r="H68" s="104"/>
      <c r="I68" s="105"/>
      <c r="J68" s="105"/>
      <c r="K68" s="105"/>
      <c r="L68" s="134"/>
    </row>
    <row r="69" spans="1:12" ht="16.5" x14ac:dyDescent="0.25">
      <c r="A69" s="54"/>
      <c r="B69" s="103"/>
      <c r="C69" s="104"/>
      <c r="D69" s="105" t="s">
        <v>149</v>
      </c>
      <c r="E69" s="105"/>
      <c r="F69" s="104"/>
      <c r="G69" s="104"/>
      <c r="H69" s="104"/>
      <c r="I69" s="105"/>
      <c r="J69" s="105"/>
      <c r="K69" s="105"/>
      <c r="L69" s="134"/>
    </row>
    <row r="70" spans="1:12" ht="16.5" x14ac:dyDescent="0.25">
      <c r="A70" s="54"/>
      <c r="B70" s="103"/>
      <c r="C70" s="104"/>
      <c r="D70" s="105" t="s">
        <v>150</v>
      </c>
      <c r="E70" s="104"/>
      <c r="F70" s="104"/>
      <c r="G70" s="104"/>
      <c r="H70" s="104"/>
      <c r="I70" s="105"/>
      <c r="J70" s="105"/>
      <c r="K70" s="105"/>
      <c r="L70" s="134"/>
    </row>
    <row r="71" spans="1:12" ht="16.5" x14ac:dyDescent="0.25">
      <c r="A71" s="54"/>
      <c r="B71" s="103"/>
      <c r="C71" s="104"/>
      <c r="D71" s="104"/>
      <c r="E71" s="104"/>
      <c r="F71" s="104"/>
      <c r="G71" s="104"/>
      <c r="H71" s="104"/>
      <c r="I71" s="105"/>
      <c r="J71" s="105"/>
      <c r="K71" s="105"/>
      <c r="L71" s="134"/>
    </row>
    <row r="72" spans="1:12" ht="16.5" x14ac:dyDescent="0.25">
      <c r="A72" s="54"/>
      <c r="B72" s="136" t="s">
        <v>116</v>
      </c>
      <c r="C72" s="137"/>
      <c r="D72" s="137"/>
      <c r="E72" s="137"/>
      <c r="F72" s="137"/>
      <c r="G72" s="104"/>
      <c r="H72" s="137"/>
      <c r="I72" s="137"/>
      <c r="J72" s="137"/>
      <c r="K72" s="137"/>
      <c r="L72" s="141"/>
    </row>
    <row r="73" spans="1:12" ht="16.5" x14ac:dyDescent="0.25">
      <c r="A73" s="54"/>
      <c r="B73" s="138"/>
      <c r="C73" s="139"/>
      <c r="D73" s="139"/>
      <c r="E73" s="139"/>
      <c r="F73" s="139"/>
      <c r="G73" s="140"/>
      <c r="H73" s="139"/>
      <c r="I73" s="142"/>
      <c r="J73" s="142"/>
      <c r="K73" s="142"/>
      <c r="L73" s="143"/>
    </row>
  </sheetData>
  <mergeCells count="51">
    <mergeCell ref="B1:L1"/>
    <mergeCell ref="F2:G2"/>
    <mergeCell ref="F3:G3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B25:G25"/>
    <mergeCell ref="H25:J25"/>
    <mergeCell ref="K25:L25"/>
    <mergeCell ref="K30:L30"/>
    <mergeCell ref="B26:G26"/>
    <mergeCell ref="H26:J26"/>
    <mergeCell ref="K26:L26"/>
    <mergeCell ref="B27:G27"/>
    <mergeCell ref="H27:J27"/>
    <mergeCell ref="K27:L27"/>
    <mergeCell ref="H28:J28"/>
    <mergeCell ref="K28:L28"/>
    <mergeCell ref="H29:J29"/>
    <mergeCell ref="K29:L29"/>
    <mergeCell ref="H30:J30"/>
    <mergeCell ref="B54:L54"/>
    <mergeCell ref="C59:D59"/>
    <mergeCell ref="B2:B4"/>
    <mergeCell ref="C2:C4"/>
    <mergeCell ref="H2:H4"/>
    <mergeCell ref="L2:L4"/>
    <mergeCell ref="L9:L12"/>
    <mergeCell ref="I2:K3"/>
    <mergeCell ref="D2:E4"/>
    <mergeCell ref="B31:L31"/>
    <mergeCell ref="B33:C33"/>
    <mergeCell ref="B47:C47"/>
    <mergeCell ref="B50:K50"/>
    <mergeCell ref="B52:L52"/>
    <mergeCell ref="B53:L53"/>
    <mergeCell ref="F24:G24"/>
  </mergeCells>
  <pageMargins left="5.1181101999999999E-2" right="0.143700787" top="0.234251969" bottom="0.5" header="0.31496062992126" footer="0.31496062992126"/>
  <pageSetup paperSize="9" scale="5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CDDDB-0FD6-4AAB-B5AB-367695113A2B}">
  <dimension ref="B2:Q67"/>
  <sheetViews>
    <sheetView topLeftCell="A31" workbookViewId="0">
      <selection activeCell="I33" sqref="I33"/>
    </sheetView>
  </sheetViews>
  <sheetFormatPr defaultRowHeight="12" x14ac:dyDescent="0.2"/>
  <cols>
    <col min="1" max="1" width="4.5703125" style="28" customWidth="1"/>
    <col min="2" max="2" width="8.85546875" style="29" customWidth="1"/>
    <col min="3" max="3" width="3.85546875" style="29" customWidth="1"/>
    <col min="4" max="4" width="6.7109375" style="29" customWidth="1"/>
    <col min="5" max="5" width="6.140625" style="29" customWidth="1"/>
    <col min="6" max="6" width="4.7109375" style="29" customWidth="1"/>
    <col min="7" max="7" width="8.7109375" style="29" customWidth="1"/>
    <col min="8" max="8" width="10.7109375" style="29" customWidth="1"/>
    <col min="9" max="9" width="6.7109375" style="29" customWidth="1"/>
    <col min="10" max="10" width="1.28515625" style="29" customWidth="1"/>
    <col min="11" max="11" width="6.7109375" style="29" customWidth="1"/>
    <col min="12" max="12" width="1.7109375" style="28" customWidth="1"/>
    <col min="13" max="13" width="7.85546875" style="28" customWidth="1"/>
    <col min="14" max="14" width="3.5703125" style="28" customWidth="1"/>
    <col min="15" max="15" width="2.140625" style="28" customWidth="1"/>
    <col min="16" max="16" width="8.140625" style="28" customWidth="1"/>
    <col min="17" max="17" width="3.5703125" style="28" customWidth="1"/>
    <col min="18" max="18" width="9.140625" style="28" bestFit="1"/>
    <col min="19" max="16384" width="9.140625" style="28"/>
  </cols>
  <sheetData>
    <row r="2" spans="2:17" ht="15.75" x14ac:dyDescent="0.25">
      <c r="B2" s="30"/>
      <c r="C2" s="31"/>
      <c r="D2" s="31"/>
      <c r="E2" s="31"/>
      <c r="F2" s="31"/>
      <c r="G2" s="32" t="s">
        <v>151</v>
      </c>
      <c r="H2" s="31"/>
      <c r="I2" s="31"/>
      <c r="J2" s="44"/>
      <c r="K2" s="45"/>
      <c r="L2" s="46"/>
      <c r="M2" s="46"/>
      <c r="N2" s="46"/>
      <c r="O2" s="46"/>
      <c r="P2" s="47" t="s">
        <v>152</v>
      </c>
      <c r="Q2" s="47" t="s">
        <v>153</v>
      </c>
    </row>
    <row r="3" spans="2:17" ht="15.95" customHeight="1" x14ac:dyDescent="0.2">
      <c r="B3" s="33"/>
      <c r="D3" s="27" t="s">
        <v>154</v>
      </c>
      <c r="P3" s="48"/>
      <c r="Q3" s="48"/>
    </row>
    <row r="4" spans="2:17" ht="15.95" customHeight="1" x14ac:dyDescent="0.2">
      <c r="B4" s="33"/>
      <c r="D4" s="27" t="s">
        <v>155</v>
      </c>
      <c r="P4" s="48"/>
      <c r="Q4" s="48"/>
    </row>
    <row r="5" spans="2:17" s="27" customFormat="1" ht="15.95" customHeight="1" x14ac:dyDescent="0.2">
      <c r="B5" s="34"/>
      <c r="P5" s="36"/>
      <c r="Q5" s="36"/>
    </row>
    <row r="6" spans="2:17" s="27" customFormat="1" ht="15.95" customHeight="1" x14ac:dyDescent="0.2">
      <c r="B6" s="34" t="s">
        <v>156</v>
      </c>
      <c r="P6" s="36"/>
      <c r="Q6" s="36"/>
    </row>
    <row r="7" spans="2:17" s="27" customFormat="1" ht="15.95" customHeight="1" x14ac:dyDescent="0.2">
      <c r="B7" s="34" t="s">
        <v>157</v>
      </c>
      <c r="M7" s="49" t="s">
        <v>152</v>
      </c>
      <c r="N7" s="49" t="s">
        <v>153</v>
      </c>
      <c r="P7" s="36"/>
      <c r="Q7" s="36"/>
    </row>
    <row r="8" spans="2:17" s="27" customFormat="1" ht="15.95" customHeight="1" x14ac:dyDescent="0.2">
      <c r="B8" s="35" t="s">
        <v>152</v>
      </c>
      <c r="C8" s="35" t="s">
        <v>153</v>
      </c>
      <c r="F8" s="27" t="s">
        <v>158</v>
      </c>
      <c r="M8" s="36"/>
      <c r="N8" s="36"/>
      <c r="P8" s="36"/>
      <c r="Q8" s="36"/>
    </row>
    <row r="9" spans="2:17" s="27" customFormat="1" ht="15.95" customHeight="1" x14ac:dyDescent="0.2">
      <c r="B9" s="36"/>
      <c r="C9" s="36"/>
      <c r="M9" s="36"/>
      <c r="N9" s="36"/>
      <c r="P9" s="36"/>
      <c r="Q9" s="36"/>
    </row>
    <row r="10" spans="2:17" s="27" customFormat="1" ht="15.95" customHeight="1" x14ac:dyDescent="0.2">
      <c r="B10" s="36"/>
      <c r="C10" s="36"/>
      <c r="F10" s="27" t="s">
        <v>159</v>
      </c>
      <c r="I10" s="27" t="s">
        <v>160</v>
      </c>
      <c r="K10" s="27" t="s">
        <v>160</v>
      </c>
      <c r="M10" s="36"/>
      <c r="N10" s="36"/>
      <c r="P10" s="36"/>
      <c r="Q10" s="36"/>
    </row>
    <row r="11" spans="2:17" s="27" customFormat="1" ht="15.95" customHeight="1" x14ac:dyDescent="0.2">
      <c r="B11" s="36"/>
      <c r="C11" s="36"/>
      <c r="M11" s="36"/>
      <c r="N11" s="36"/>
      <c r="P11" s="36"/>
      <c r="Q11" s="36"/>
    </row>
    <row r="12" spans="2:17" s="27" customFormat="1" ht="15.95" customHeight="1" x14ac:dyDescent="0.2">
      <c r="B12" s="36"/>
      <c r="C12" s="36"/>
      <c r="F12" s="27" t="s">
        <v>161</v>
      </c>
      <c r="I12" s="27" t="s">
        <v>160</v>
      </c>
      <c r="K12" s="27" t="s">
        <v>160</v>
      </c>
      <c r="M12" s="36"/>
      <c r="N12" s="36"/>
      <c r="P12" s="36"/>
      <c r="Q12" s="36"/>
    </row>
    <row r="13" spans="2:17" s="27" customFormat="1" ht="15.95" customHeight="1" x14ac:dyDescent="0.2">
      <c r="B13" s="36"/>
      <c r="C13" s="36"/>
      <c r="M13" s="50"/>
      <c r="N13" s="50"/>
      <c r="P13" s="36"/>
      <c r="Q13" s="36"/>
    </row>
    <row r="14" spans="2:17" s="27" customFormat="1" ht="15.95" customHeight="1" x14ac:dyDescent="0.2">
      <c r="B14" s="36"/>
      <c r="C14" s="36"/>
      <c r="F14" s="27" t="s">
        <v>162</v>
      </c>
      <c r="M14" s="27" t="s">
        <v>163</v>
      </c>
      <c r="P14" s="36"/>
      <c r="Q14" s="36"/>
    </row>
    <row r="15" spans="2:17" s="27" customFormat="1" ht="15.95" customHeight="1" x14ac:dyDescent="0.2">
      <c r="B15" s="36"/>
      <c r="C15" s="36"/>
      <c r="F15" s="27" t="s">
        <v>164</v>
      </c>
      <c r="P15" s="36"/>
      <c r="Q15" s="36"/>
    </row>
    <row r="16" spans="2:17" s="27" customFormat="1" ht="15.95" customHeight="1" x14ac:dyDescent="0.2">
      <c r="B16" s="36"/>
      <c r="C16" s="36"/>
      <c r="F16" s="27" t="s">
        <v>165</v>
      </c>
      <c r="P16" s="36"/>
      <c r="Q16" s="36"/>
    </row>
    <row r="17" spans="2:17" s="27" customFormat="1" ht="15.95" customHeight="1" x14ac:dyDescent="0.2">
      <c r="B17" s="36"/>
      <c r="C17" s="36"/>
      <c r="F17" s="27" t="s">
        <v>166</v>
      </c>
      <c r="M17" s="49" t="s">
        <v>152</v>
      </c>
      <c r="N17" s="49" t="s">
        <v>153</v>
      </c>
      <c r="P17" s="36"/>
      <c r="Q17" s="36"/>
    </row>
    <row r="18" spans="2:17" s="27" customFormat="1" ht="15.95" customHeight="1" x14ac:dyDescent="0.2">
      <c r="B18" s="36"/>
      <c r="C18" s="36"/>
      <c r="F18" s="27" t="s">
        <v>167</v>
      </c>
      <c r="M18" s="36"/>
      <c r="N18" s="36"/>
      <c r="P18" s="36"/>
      <c r="Q18" s="36"/>
    </row>
    <row r="19" spans="2:17" s="27" customFormat="1" ht="15.95" customHeight="1" x14ac:dyDescent="0.2">
      <c r="B19" s="36"/>
      <c r="C19" s="36"/>
      <c r="F19" s="27" t="s">
        <v>168</v>
      </c>
      <c r="M19" s="36"/>
      <c r="N19" s="36"/>
      <c r="P19" s="36"/>
      <c r="Q19" s="36"/>
    </row>
    <row r="20" spans="2:17" s="27" customFormat="1" ht="15.95" customHeight="1" x14ac:dyDescent="0.2">
      <c r="B20" s="36"/>
      <c r="C20" s="36"/>
      <c r="F20" s="27" t="s">
        <v>169</v>
      </c>
      <c r="M20" s="36"/>
      <c r="N20" s="36"/>
      <c r="P20" s="36"/>
      <c r="Q20" s="36"/>
    </row>
    <row r="21" spans="2:17" s="27" customFormat="1" ht="15.95" customHeight="1" x14ac:dyDescent="0.2">
      <c r="B21" s="36"/>
      <c r="C21" s="36"/>
      <c r="F21" s="27" t="s">
        <v>170</v>
      </c>
      <c r="M21" s="36"/>
      <c r="N21" s="36"/>
      <c r="P21" s="36"/>
      <c r="Q21" s="36"/>
    </row>
    <row r="22" spans="2:17" s="27" customFormat="1" ht="15.95" customHeight="1" x14ac:dyDescent="0.2">
      <c r="B22" s="37"/>
      <c r="C22" s="37"/>
      <c r="D22" s="38" t="s">
        <v>171</v>
      </c>
      <c r="E22" s="38"/>
      <c r="F22" s="38"/>
      <c r="G22" s="39"/>
      <c r="M22" s="36"/>
      <c r="N22" s="36"/>
      <c r="P22" s="36"/>
      <c r="Q22" s="36"/>
    </row>
    <row r="23" spans="2:17" s="27" customFormat="1" ht="15.95" customHeight="1" x14ac:dyDescent="0.2">
      <c r="B23" s="36"/>
      <c r="C23" s="36"/>
      <c r="F23" s="27" t="s">
        <v>172</v>
      </c>
      <c r="M23" s="36"/>
      <c r="N23" s="36"/>
      <c r="P23" s="36"/>
      <c r="Q23" s="36"/>
    </row>
    <row r="24" spans="2:17" s="27" customFormat="1" ht="15.95" customHeight="1" x14ac:dyDescent="0.2">
      <c r="B24" s="36"/>
      <c r="C24" s="36"/>
      <c r="F24" s="27" t="s">
        <v>173</v>
      </c>
      <c r="M24" s="36"/>
      <c r="N24" s="36"/>
      <c r="P24" s="36"/>
      <c r="Q24" s="36"/>
    </row>
    <row r="25" spans="2:17" s="27" customFormat="1" ht="15.95" customHeight="1" x14ac:dyDescent="0.2">
      <c r="B25" s="36"/>
      <c r="C25" s="36"/>
      <c r="M25" s="50"/>
      <c r="N25" s="50"/>
      <c r="P25" s="36"/>
      <c r="Q25" s="36"/>
    </row>
    <row r="26" spans="2:17" s="27" customFormat="1" ht="15.95" customHeight="1" x14ac:dyDescent="0.2">
      <c r="B26" s="36"/>
      <c r="C26" s="36"/>
      <c r="F26" s="27" t="s">
        <v>174</v>
      </c>
      <c r="K26" s="28" t="s">
        <v>160</v>
      </c>
      <c r="P26" s="36"/>
      <c r="Q26" s="36"/>
    </row>
    <row r="27" spans="2:17" s="27" customFormat="1" ht="15.95" customHeight="1" x14ac:dyDescent="0.2">
      <c r="B27" s="36"/>
      <c r="C27" s="36"/>
      <c r="P27" s="36"/>
      <c r="Q27" s="36"/>
    </row>
    <row r="28" spans="2:17" s="27" customFormat="1" ht="15.95" customHeight="1" x14ac:dyDescent="0.2">
      <c r="B28" s="37"/>
      <c r="C28" s="37"/>
      <c r="D28" s="38" t="s">
        <v>175</v>
      </c>
      <c r="E28" s="38"/>
      <c r="F28" s="38"/>
      <c r="G28" s="39"/>
      <c r="H28" s="40"/>
      <c r="I28" s="40"/>
      <c r="J28" s="40"/>
      <c r="K28" s="40"/>
      <c r="L28" s="40"/>
      <c r="M28" s="40"/>
      <c r="N28" s="40"/>
      <c r="O28" s="40"/>
      <c r="P28" s="50"/>
      <c r="Q28" s="50"/>
    </row>
    <row r="29" spans="2:17" s="27" customFormat="1" ht="15.95" customHeight="1" x14ac:dyDescent="0.2">
      <c r="B29" s="34" t="s">
        <v>176</v>
      </c>
      <c r="Q29" s="51" t="s">
        <v>177</v>
      </c>
    </row>
    <row r="30" spans="2:17" s="27" customFormat="1" ht="15.95" customHeight="1" x14ac:dyDescent="0.2">
      <c r="B30" s="34"/>
      <c r="Q30" s="52"/>
    </row>
    <row r="31" spans="2:17" s="27" customFormat="1" ht="15.95" customHeight="1" x14ac:dyDescent="0.2">
      <c r="B31" s="34"/>
      <c r="Q31" s="52"/>
    </row>
    <row r="32" spans="2:17" s="27" customFormat="1" ht="15.95" customHeight="1" x14ac:dyDescent="0.2">
      <c r="B32" s="34" t="s">
        <v>178</v>
      </c>
      <c r="H32" s="28" t="s">
        <v>179</v>
      </c>
      <c r="Q32" s="52"/>
    </row>
    <row r="33" spans="2:17" s="27" customFormat="1" ht="15.95" customHeight="1" x14ac:dyDescent="0.2">
      <c r="B33" s="34"/>
      <c r="H33" s="28" t="s">
        <v>257</v>
      </c>
      <c r="N33" s="28" t="s">
        <v>180</v>
      </c>
      <c r="Q33" s="52"/>
    </row>
    <row r="34" spans="2:17" s="27" customFormat="1" ht="15.95" customHeight="1" x14ac:dyDescent="0.2">
      <c r="B34" s="34"/>
      <c r="C34" s="28" t="s">
        <v>181</v>
      </c>
      <c r="N34" s="28" t="s">
        <v>182</v>
      </c>
      <c r="Q34" s="52"/>
    </row>
    <row r="35" spans="2:17" s="27" customFormat="1" ht="15.95" customHeight="1" x14ac:dyDescent="0.2">
      <c r="B35" s="34"/>
      <c r="C35" s="28" t="s">
        <v>183</v>
      </c>
      <c r="N35" s="28" t="s">
        <v>184</v>
      </c>
      <c r="Q35" s="52"/>
    </row>
    <row r="36" spans="2:17" s="27" customFormat="1" ht="15.95" customHeight="1" x14ac:dyDescent="0.2">
      <c r="B36" s="34"/>
      <c r="Q36" s="52"/>
    </row>
    <row r="37" spans="2:17" s="27" customFormat="1" ht="15.95" customHeight="1" x14ac:dyDescent="0.2">
      <c r="B37" s="34"/>
      <c r="Q37" s="52"/>
    </row>
    <row r="38" spans="2:17" s="27" customFormat="1" ht="15.95" customHeight="1" x14ac:dyDescent="0.2">
      <c r="B38" s="34" t="s">
        <v>185</v>
      </c>
      <c r="Q38" s="52"/>
    </row>
    <row r="39" spans="2:17" s="27" customFormat="1" ht="15.95" customHeight="1" x14ac:dyDescent="0.2">
      <c r="B39" s="34"/>
      <c r="Q39" s="52"/>
    </row>
    <row r="40" spans="2:17" s="27" customFormat="1" ht="15.95" customHeight="1" x14ac:dyDescent="0.2">
      <c r="B40" s="34" t="s">
        <v>186</v>
      </c>
      <c r="N40" s="28" t="s">
        <v>187</v>
      </c>
      <c r="Q40" s="52"/>
    </row>
    <row r="41" spans="2:17" s="27" customFormat="1" ht="15.95" customHeight="1" x14ac:dyDescent="0.2">
      <c r="B41" s="41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53"/>
    </row>
    <row r="42" spans="2:17" s="27" customFormat="1" ht="15.95" customHeight="1" x14ac:dyDescent="0.2">
      <c r="B42" s="34" t="s">
        <v>188</v>
      </c>
      <c r="H42" s="27" t="s">
        <v>185</v>
      </c>
      <c r="Q42" s="52"/>
    </row>
    <row r="43" spans="2:17" s="27" customFormat="1" ht="15.95" customHeight="1" x14ac:dyDescent="0.2">
      <c r="B43" s="34"/>
      <c r="M43"/>
      <c r="Q43" s="52"/>
    </row>
    <row r="44" spans="2:17" s="27" customFormat="1" ht="15.95" customHeight="1" x14ac:dyDescent="0.2">
      <c r="B44" s="34"/>
      <c r="N44" s="28"/>
      <c r="Q44" s="52"/>
    </row>
    <row r="45" spans="2:17" s="27" customFormat="1" ht="15.95" customHeight="1" x14ac:dyDescent="0.2">
      <c r="B45" s="34"/>
      <c r="M45" s="28" t="s">
        <v>189</v>
      </c>
      <c r="Q45" s="52"/>
    </row>
    <row r="46" spans="2:17" s="27" customFormat="1" ht="15.95" customHeight="1" x14ac:dyDescent="0.2">
      <c r="B46" s="34"/>
      <c r="Q46" s="52"/>
    </row>
    <row r="47" spans="2:17" s="27" customFormat="1" ht="15.95" customHeight="1" x14ac:dyDescent="0.2">
      <c r="B47" s="34"/>
      <c r="Q47" s="52"/>
    </row>
    <row r="48" spans="2:17" s="27" customFormat="1" ht="15.95" customHeight="1" x14ac:dyDescent="0.2">
      <c r="B48" s="34"/>
      <c r="M48" s="28" t="s">
        <v>190</v>
      </c>
      <c r="Q48" s="52"/>
    </row>
    <row r="49" spans="2:17" s="27" customFormat="1" ht="15.95" customHeight="1" x14ac:dyDescent="0.2">
      <c r="B49" s="41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53"/>
    </row>
    <row r="50" spans="2:17" s="27" customFormat="1" ht="15.95" customHeight="1" x14ac:dyDescent="0.25">
      <c r="B50" s="34"/>
      <c r="G50" s="42" t="s">
        <v>191</v>
      </c>
      <c r="Q50" s="52"/>
    </row>
    <row r="51" spans="2:17" s="27" customFormat="1" ht="15.95" customHeight="1" x14ac:dyDescent="0.2">
      <c r="B51" s="34"/>
      <c r="Q51" s="52"/>
    </row>
    <row r="52" spans="2:17" s="27" customFormat="1" ht="15.95" customHeight="1" x14ac:dyDescent="0.2">
      <c r="B52" s="34" t="s">
        <v>192</v>
      </c>
      <c r="Q52" s="52"/>
    </row>
    <row r="53" spans="2:17" s="27" customFormat="1" ht="15.95" customHeight="1" x14ac:dyDescent="0.2">
      <c r="B53" s="34" t="s">
        <v>193</v>
      </c>
      <c r="Q53" s="52"/>
    </row>
    <row r="54" spans="2:17" s="27" customFormat="1" ht="15.95" customHeight="1" x14ac:dyDescent="0.2">
      <c r="B54" s="34"/>
      <c r="Q54" s="52"/>
    </row>
    <row r="55" spans="2:17" s="27" customFormat="1" ht="15.95" customHeight="1" x14ac:dyDescent="0.2">
      <c r="B55" s="34"/>
      <c r="Q55" s="52"/>
    </row>
    <row r="56" spans="2:17" s="27" customFormat="1" ht="15.95" customHeight="1" x14ac:dyDescent="0.2">
      <c r="B56" s="34"/>
      <c r="Q56" s="52"/>
    </row>
    <row r="57" spans="2:17" s="27" customFormat="1" ht="15.95" customHeight="1" x14ac:dyDescent="0.2">
      <c r="B57" s="34"/>
      <c r="Q57" s="52"/>
    </row>
    <row r="58" spans="2:17" s="27" customFormat="1" ht="15.95" customHeight="1" x14ac:dyDescent="0.2">
      <c r="B58" s="34"/>
      <c r="Q58" s="52"/>
    </row>
    <row r="59" spans="2:17" s="27" customFormat="1" ht="15.95" customHeight="1" x14ac:dyDescent="0.2">
      <c r="B59" s="43" t="s">
        <v>194</v>
      </c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9"/>
    </row>
    <row r="60" spans="2:17" s="27" customFormat="1" ht="15.95" customHeight="1" x14ac:dyDescent="0.2"/>
    <row r="61" spans="2:17" s="27" customFormat="1" ht="15.95" customHeight="1" x14ac:dyDescent="0.2"/>
    <row r="62" spans="2:17" s="27" customFormat="1" ht="15.95" customHeight="1" x14ac:dyDescent="0.2"/>
    <row r="63" spans="2:17" s="27" customFormat="1" ht="15.95" customHeight="1" x14ac:dyDescent="0.2"/>
    <row r="64" spans="2:17" s="27" customFormat="1" x14ac:dyDescent="0.2"/>
    <row r="65" s="27" customFormat="1" x14ac:dyDescent="0.2"/>
    <row r="66" s="27" customFormat="1" x14ac:dyDescent="0.2"/>
    <row r="67" s="27" customFormat="1" x14ac:dyDescent="0.2"/>
  </sheetData>
  <pageMargins left="0.6" right="0.27559055118110198" top="0.643700787" bottom="0.47244094488188992" header="0.19685039370078702" footer="0.511811023622047"/>
  <pageSetup paperSize="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0BD7-D29C-4E79-94CF-C44819042218}">
  <dimension ref="A1:AO33"/>
  <sheetViews>
    <sheetView zoomScale="69" workbookViewId="0">
      <selection activeCell="A8" sqref="A8"/>
    </sheetView>
  </sheetViews>
  <sheetFormatPr defaultRowHeight="12.75" x14ac:dyDescent="0.2"/>
  <sheetData>
    <row r="1" spans="1:41" ht="105" x14ac:dyDescent="0.2">
      <c r="A1" s="1" t="s">
        <v>195</v>
      </c>
      <c r="B1" s="1" t="s">
        <v>196</v>
      </c>
      <c r="C1" s="2" t="s">
        <v>197</v>
      </c>
      <c r="D1" s="2" t="s">
        <v>198</v>
      </c>
      <c r="E1" s="2" t="s">
        <v>199</v>
      </c>
      <c r="F1" s="2" t="s">
        <v>200</v>
      </c>
      <c r="G1" s="333" t="s">
        <v>201</v>
      </c>
      <c r="H1" s="333"/>
      <c r="I1" s="329" t="s">
        <v>202</v>
      </c>
      <c r="J1" s="329"/>
      <c r="K1" s="329"/>
      <c r="L1" s="1" t="s">
        <v>203</v>
      </c>
      <c r="M1" s="329" t="s">
        <v>204</v>
      </c>
      <c r="N1" s="329"/>
      <c r="O1" s="329"/>
      <c r="P1" s="329" t="s">
        <v>205</v>
      </c>
      <c r="Q1" s="329"/>
      <c r="R1" s="329"/>
      <c r="S1" s="329"/>
      <c r="T1" s="329" t="s">
        <v>206</v>
      </c>
      <c r="U1" s="329"/>
      <c r="V1" s="1" t="s">
        <v>207</v>
      </c>
      <c r="W1" s="22" t="s">
        <v>208</v>
      </c>
      <c r="X1" s="22" t="s">
        <v>209</v>
      </c>
      <c r="Y1" s="329" t="s">
        <v>210</v>
      </c>
      <c r="Z1" s="329"/>
      <c r="AA1" s="329"/>
      <c r="AB1" s="329" t="s">
        <v>211</v>
      </c>
      <c r="AC1" s="329"/>
      <c r="AD1" s="329"/>
      <c r="AE1" s="1" t="s">
        <v>212</v>
      </c>
      <c r="AF1" s="1" t="s">
        <v>213</v>
      </c>
      <c r="AG1" s="1" t="s">
        <v>214</v>
      </c>
      <c r="AH1" s="329" t="s">
        <v>215</v>
      </c>
      <c r="AI1" s="329"/>
      <c r="AJ1" s="329"/>
      <c r="AK1" s="329" t="s">
        <v>216</v>
      </c>
      <c r="AL1" s="329"/>
      <c r="AM1" s="329"/>
      <c r="AN1" s="329" t="s">
        <v>217</v>
      </c>
      <c r="AO1" s="329"/>
    </row>
    <row r="2" spans="1:41" ht="15" x14ac:dyDescent="0.25">
      <c r="A2" s="3"/>
      <c r="B2" s="3"/>
      <c r="C2" s="4"/>
      <c r="D2" s="5"/>
      <c r="E2" s="5"/>
      <c r="F2" s="5"/>
      <c r="G2" s="325">
        <v>1</v>
      </c>
      <c r="H2" s="325"/>
      <c r="I2" s="325">
        <v>2</v>
      </c>
      <c r="J2" s="325"/>
      <c r="K2" s="325"/>
      <c r="L2" s="6">
        <v>3</v>
      </c>
      <c r="M2" s="325">
        <v>4</v>
      </c>
      <c r="N2" s="325"/>
      <c r="O2" s="325"/>
      <c r="P2" s="325">
        <v>5</v>
      </c>
      <c r="Q2" s="325"/>
      <c r="R2" s="325"/>
      <c r="S2" s="325"/>
      <c r="T2" s="325">
        <v>6</v>
      </c>
      <c r="U2" s="325"/>
      <c r="V2" s="330">
        <v>7</v>
      </c>
      <c r="W2" s="331"/>
      <c r="X2" s="332"/>
      <c r="Y2" s="325">
        <v>8</v>
      </c>
      <c r="Z2" s="325"/>
      <c r="AA2" s="325"/>
      <c r="AB2" s="325">
        <v>9</v>
      </c>
      <c r="AC2" s="325"/>
      <c r="AD2" s="325"/>
      <c r="AE2" s="6">
        <v>10</v>
      </c>
      <c r="AF2" s="6">
        <v>11</v>
      </c>
      <c r="AG2" s="6">
        <v>12</v>
      </c>
      <c r="AH2" s="326">
        <v>13</v>
      </c>
      <c r="AI2" s="327"/>
      <c r="AJ2" s="327"/>
      <c r="AK2" s="327"/>
      <c r="AL2" s="327"/>
      <c r="AM2" s="328"/>
      <c r="AN2" s="326">
        <v>14</v>
      </c>
      <c r="AO2" s="328"/>
    </row>
    <row r="3" spans="1:41" ht="15" x14ac:dyDescent="0.25">
      <c r="A3" s="3"/>
      <c r="B3" s="3"/>
      <c r="C3" s="4"/>
      <c r="D3" s="5"/>
      <c r="E3" s="5"/>
      <c r="F3" s="5"/>
      <c r="G3" s="5" t="s">
        <v>218</v>
      </c>
      <c r="H3" s="3" t="s">
        <v>219</v>
      </c>
      <c r="I3" s="3">
        <v>100</v>
      </c>
      <c r="J3" s="3">
        <v>200</v>
      </c>
      <c r="K3" s="3">
        <v>500</v>
      </c>
      <c r="L3" s="3"/>
      <c r="M3" s="3" t="s">
        <v>220</v>
      </c>
      <c r="N3" s="3" t="s">
        <v>221</v>
      </c>
      <c r="O3" s="3" t="s">
        <v>222</v>
      </c>
      <c r="P3" s="3">
        <v>70</v>
      </c>
      <c r="Q3" s="3">
        <v>150</v>
      </c>
      <c r="R3" s="3">
        <v>185</v>
      </c>
      <c r="S3" s="3">
        <v>240</v>
      </c>
      <c r="T3" s="23"/>
      <c r="U3" s="24" t="s">
        <v>223</v>
      </c>
      <c r="V3" s="3"/>
      <c r="W3" s="3"/>
      <c r="X3" s="3"/>
      <c r="Y3" s="3">
        <v>250</v>
      </c>
      <c r="Z3" s="3">
        <v>400</v>
      </c>
      <c r="AA3" s="3">
        <v>630</v>
      </c>
      <c r="AB3" s="3">
        <v>250</v>
      </c>
      <c r="AC3" s="3">
        <v>400</v>
      </c>
      <c r="AD3" s="3">
        <v>630</v>
      </c>
      <c r="AE3" s="3"/>
      <c r="AF3" s="3"/>
      <c r="AG3" s="3"/>
      <c r="AH3" s="25" t="s">
        <v>224</v>
      </c>
      <c r="AI3" s="25" t="s">
        <v>225</v>
      </c>
      <c r="AJ3" s="25" t="s">
        <v>226</v>
      </c>
      <c r="AK3" s="25" t="s">
        <v>224</v>
      </c>
      <c r="AL3" s="25" t="s">
        <v>225</v>
      </c>
      <c r="AM3" s="25" t="s">
        <v>226</v>
      </c>
      <c r="AN3" s="25" t="s">
        <v>227</v>
      </c>
      <c r="AO3" s="25" t="s">
        <v>228</v>
      </c>
    </row>
    <row r="4" spans="1:41" ht="14.25" x14ac:dyDescent="0.2">
      <c r="A4" s="7"/>
      <c r="B4" s="8"/>
      <c r="C4" s="9"/>
      <c r="D4" s="10"/>
      <c r="E4" s="10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26"/>
      <c r="AI4" s="26"/>
      <c r="AJ4" s="26"/>
      <c r="AK4" s="26"/>
      <c r="AL4" s="26"/>
      <c r="AM4" s="26"/>
      <c r="AN4" s="26"/>
      <c r="AO4" s="26"/>
    </row>
    <row r="5" spans="1:41" ht="14.25" x14ac:dyDescent="0.2">
      <c r="A5" s="11"/>
      <c r="B5" s="8"/>
      <c r="C5" s="9"/>
      <c r="D5" s="12"/>
      <c r="E5" s="12"/>
      <c r="F5" s="13"/>
      <c r="G5" s="13"/>
      <c r="H5" s="13"/>
      <c r="I5" s="11"/>
      <c r="J5" s="18"/>
      <c r="K5" s="11"/>
      <c r="L5" s="11"/>
      <c r="M5" s="11"/>
      <c r="N5" s="19"/>
      <c r="O5" s="19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26"/>
      <c r="AI5" s="26"/>
      <c r="AJ5" s="26"/>
      <c r="AK5" s="26"/>
      <c r="AL5" s="26"/>
      <c r="AM5" s="26"/>
      <c r="AN5" s="26"/>
      <c r="AO5" s="26"/>
    </row>
    <row r="6" spans="1:41" ht="14.25" x14ac:dyDescent="0.2">
      <c r="A6" s="11"/>
      <c r="B6" s="8"/>
      <c r="C6" s="9"/>
      <c r="D6" s="12"/>
      <c r="E6" s="12"/>
      <c r="F6" s="13"/>
      <c r="G6" s="13"/>
      <c r="H6" s="13"/>
      <c r="I6" s="13"/>
      <c r="J6" s="20"/>
      <c r="K6" s="13"/>
      <c r="L6" s="13"/>
      <c r="M6" s="13"/>
      <c r="N6" s="21"/>
      <c r="O6" s="21"/>
      <c r="P6" s="13"/>
      <c r="Q6" s="13"/>
      <c r="R6" s="13"/>
      <c r="S6" s="13"/>
      <c r="T6" s="11"/>
      <c r="U6" s="11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26"/>
      <c r="AI6" s="26"/>
      <c r="AJ6" s="26"/>
      <c r="AK6" s="26"/>
      <c r="AL6" s="26"/>
      <c r="AM6" s="26"/>
      <c r="AN6" s="26"/>
      <c r="AO6" s="26"/>
    </row>
    <row r="7" spans="1:41" ht="14.25" x14ac:dyDescent="0.2">
      <c r="A7" s="7"/>
      <c r="B7" s="8"/>
      <c r="C7" s="9"/>
      <c r="D7" s="12"/>
      <c r="E7" s="12"/>
      <c r="F7" s="13"/>
      <c r="G7" s="13"/>
      <c r="H7" s="13"/>
      <c r="I7" s="13"/>
      <c r="J7" s="20"/>
      <c r="K7" s="13"/>
      <c r="L7" s="13"/>
      <c r="M7" s="13"/>
      <c r="N7" s="21"/>
      <c r="O7" s="21"/>
      <c r="P7" s="13"/>
      <c r="Q7" s="13"/>
      <c r="R7" s="13"/>
      <c r="S7" s="13"/>
      <c r="T7" s="11"/>
      <c r="U7" s="11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26"/>
      <c r="AI7" s="26"/>
      <c r="AJ7" s="26"/>
      <c r="AK7" s="26"/>
      <c r="AL7" s="26"/>
      <c r="AM7" s="26"/>
      <c r="AN7" s="26"/>
      <c r="AO7" s="26"/>
    </row>
    <row r="8" spans="1:41" ht="14.25" x14ac:dyDescent="0.2">
      <c r="A8" s="7"/>
      <c r="B8" s="8"/>
      <c r="C8" s="9"/>
      <c r="D8" s="12"/>
      <c r="E8" s="12"/>
      <c r="F8" s="13"/>
      <c r="G8" s="13"/>
      <c r="H8" s="13"/>
      <c r="I8" s="13"/>
      <c r="J8" s="13"/>
      <c r="K8" s="13"/>
      <c r="L8" s="13"/>
      <c r="M8" s="13"/>
      <c r="N8" s="21"/>
      <c r="O8" s="21"/>
      <c r="P8" s="13"/>
      <c r="Q8" s="13"/>
      <c r="R8" s="13"/>
      <c r="S8" s="13"/>
      <c r="T8" s="11"/>
      <c r="U8" s="11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26"/>
      <c r="AI8" s="26"/>
      <c r="AJ8" s="26"/>
      <c r="AK8" s="26"/>
      <c r="AL8" s="26"/>
      <c r="AM8" s="26"/>
      <c r="AN8" s="26"/>
      <c r="AO8" s="26"/>
    </row>
    <row r="9" spans="1:41" ht="14.25" x14ac:dyDescent="0.2">
      <c r="A9" s="11"/>
      <c r="B9" s="8"/>
      <c r="C9" s="9"/>
      <c r="D9" s="12"/>
      <c r="E9" s="10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26"/>
      <c r="AI9" s="26"/>
      <c r="AJ9" s="26"/>
      <c r="AK9" s="26"/>
      <c r="AL9" s="26"/>
      <c r="AM9" s="26"/>
      <c r="AN9" s="26"/>
      <c r="AO9" s="26"/>
    </row>
    <row r="10" spans="1:41" ht="14.25" x14ac:dyDescent="0.2">
      <c r="A10" s="11"/>
      <c r="B10" s="8"/>
      <c r="C10" s="9"/>
      <c r="D10" s="12"/>
      <c r="E10" s="12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1"/>
      <c r="U10" s="11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26"/>
      <c r="AI10" s="26"/>
      <c r="AJ10" s="26"/>
      <c r="AK10" s="26"/>
      <c r="AL10" s="26"/>
      <c r="AM10" s="26"/>
      <c r="AN10" s="26"/>
      <c r="AO10" s="26"/>
    </row>
    <row r="11" spans="1:41" ht="14.25" x14ac:dyDescent="0.2">
      <c r="A11" s="7"/>
      <c r="B11" s="8"/>
      <c r="C11" s="9"/>
      <c r="D11" s="12"/>
      <c r="E11" s="12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1"/>
      <c r="U11" s="11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26"/>
      <c r="AI11" s="26"/>
      <c r="AJ11" s="26"/>
      <c r="AK11" s="26"/>
      <c r="AL11" s="26"/>
      <c r="AM11" s="26"/>
      <c r="AN11" s="26"/>
      <c r="AO11" s="26"/>
    </row>
    <row r="12" spans="1:41" ht="14.25" x14ac:dyDescent="0.2">
      <c r="A12" s="11"/>
      <c r="B12" s="8"/>
      <c r="C12" s="9"/>
      <c r="D12" s="12"/>
      <c r="E12" s="12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1"/>
      <c r="U12" s="11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26"/>
      <c r="AI12" s="26"/>
      <c r="AJ12" s="26"/>
      <c r="AK12" s="26"/>
      <c r="AL12" s="26"/>
      <c r="AM12" s="26"/>
      <c r="AN12" s="26"/>
      <c r="AO12" s="26"/>
    </row>
    <row r="13" spans="1:41" ht="14.25" x14ac:dyDescent="0.2">
      <c r="A13" s="7"/>
      <c r="B13" s="8"/>
      <c r="C13" s="9"/>
      <c r="D13" s="12"/>
      <c r="E13" s="12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1"/>
      <c r="U13" s="11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26"/>
      <c r="AI13" s="26"/>
      <c r="AJ13" s="26"/>
      <c r="AK13" s="26"/>
      <c r="AL13" s="26"/>
      <c r="AM13" s="26"/>
      <c r="AN13" s="26"/>
      <c r="AO13" s="26"/>
    </row>
    <row r="14" spans="1:41" ht="14.25" x14ac:dyDescent="0.2">
      <c r="A14" s="11"/>
      <c r="B14" s="8"/>
      <c r="C14" s="14"/>
      <c r="D14" s="12"/>
      <c r="E14" s="12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1"/>
      <c r="U14" s="11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26"/>
      <c r="AI14" s="26"/>
      <c r="AJ14" s="26"/>
      <c r="AK14" s="26"/>
      <c r="AL14" s="26"/>
      <c r="AM14" s="26"/>
      <c r="AN14" s="26"/>
      <c r="AO14" s="26"/>
    </row>
    <row r="15" spans="1:41" ht="14.25" x14ac:dyDescent="0.2">
      <c r="A15" s="11"/>
      <c r="B15" s="8"/>
      <c r="C15" s="14"/>
      <c r="D15" s="12"/>
      <c r="E15" s="12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1"/>
      <c r="U15" s="11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26"/>
      <c r="AI15" s="26"/>
      <c r="AJ15" s="26"/>
      <c r="AK15" s="26"/>
      <c r="AL15" s="26"/>
      <c r="AM15" s="26"/>
      <c r="AN15" s="26"/>
      <c r="AO15" s="26"/>
    </row>
    <row r="16" spans="1:41" ht="14.25" x14ac:dyDescent="0.2">
      <c r="A16" s="11"/>
      <c r="B16" s="8"/>
      <c r="C16" s="14"/>
      <c r="D16" s="12"/>
      <c r="E16" s="12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1"/>
      <c r="U16" s="11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26"/>
      <c r="AI16" s="26"/>
      <c r="AJ16" s="26"/>
      <c r="AK16" s="26"/>
      <c r="AL16" s="26"/>
      <c r="AM16" s="26"/>
      <c r="AN16" s="26"/>
      <c r="AO16" s="26"/>
    </row>
    <row r="17" spans="1:41" ht="14.25" x14ac:dyDescent="0.2">
      <c r="A17" s="7"/>
      <c r="B17" s="8"/>
      <c r="C17" s="14"/>
      <c r="D17" s="12"/>
      <c r="E17" s="12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1"/>
      <c r="U17" s="11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26"/>
      <c r="AI17" s="26"/>
      <c r="AJ17" s="26"/>
      <c r="AK17" s="26"/>
      <c r="AL17" s="26"/>
      <c r="AM17" s="26"/>
      <c r="AN17" s="26"/>
      <c r="AO17" s="26"/>
    </row>
    <row r="18" spans="1:41" ht="14.25" x14ac:dyDescent="0.2">
      <c r="A18" s="11"/>
      <c r="B18" s="8"/>
      <c r="C18" s="14"/>
      <c r="D18" s="12"/>
      <c r="E18" s="12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1"/>
      <c r="U18" s="11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26"/>
      <c r="AI18" s="26"/>
      <c r="AJ18" s="26"/>
      <c r="AK18" s="26"/>
      <c r="AL18" s="26"/>
      <c r="AM18" s="26"/>
      <c r="AN18" s="26"/>
      <c r="AO18" s="26"/>
    </row>
    <row r="19" spans="1:41" ht="14.25" x14ac:dyDescent="0.2">
      <c r="A19" s="7"/>
      <c r="B19" s="15"/>
      <c r="C19" s="14"/>
      <c r="D19" s="12"/>
      <c r="E19" s="12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1"/>
      <c r="U19" s="11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26"/>
      <c r="AI19" s="26"/>
      <c r="AJ19" s="26"/>
      <c r="AK19" s="26"/>
      <c r="AL19" s="26"/>
      <c r="AM19" s="26"/>
      <c r="AN19" s="26"/>
      <c r="AO19" s="26"/>
    </row>
    <row r="20" spans="1:41" ht="14.25" x14ac:dyDescent="0.2">
      <c r="A20" s="11"/>
      <c r="B20" s="15"/>
      <c r="C20" s="14"/>
      <c r="D20" s="12"/>
      <c r="E20" s="12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1"/>
      <c r="U20" s="11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26"/>
      <c r="AI20" s="26"/>
      <c r="AJ20" s="26"/>
      <c r="AK20" s="26"/>
      <c r="AL20" s="26"/>
      <c r="AM20" s="26"/>
      <c r="AN20" s="26"/>
      <c r="AO20" s="26"/>
    </row>
    <row r="21" spans="1:41" ht="14.25" x14ac:dyDescent="0.2">
      <c r="A21" s="7"/>
      <c r="B21" s="15"/>
      <c r="C21" s="14"/>
      <c r="D21" s="12"/>
      <c r="E21" s="12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1"/>
      <c r="U21" s="11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26"/>
      <c r="AI21" s="26"/>
      <c r="AJ21" s="26"/>
      <c r="AK21" s="26"/>
      <c r="AL21" s="26"/>
      <c r="AM21" s="26"/>
      <c r="AN21" s="26"/>
      <c r="AO21" s="26"/>
    </row>
    <row r="22" spans="1:41" ht="14.25" x14ac:dyDescent="0.2">
      <c r="A22" s="11"/>
      <c r="B22" s="15"/>
      <c r="C22" s="14"/>
      <c r="D22" s="12"/>
      <c r="E22" s="12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1"/>
      <c r="U22" s="11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26"/>
      <c r="AI22" s="26"/>
      <c r="AJ22" s="26"/>
      <c r="AK22" s="26"/>
      <c r="AL22" s="26"/>
      <c r="AM22" s="26"/>
      <c r="AN22" s="26"/>
      <c r="AO22" s="26"/>
    </row>
    <row r="23" spans="1:41" ht="14.25" x14ac:dyDescent="0.2">
      <c r="A23" s="7"/>
      <c r="B23" s="15"/>
      <c r="C23" s="14"/>
      <c r="D23" s="12"/>
      <c r="E23" s="12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1"/>
      <c r="U23" s="11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26"/>
      <c r="AI23" s="26"/>
      <c r="AJ23" s="26"/>
      <c r="AK23" s="26"/>
      <c r="AL23" s="26"/>
      <c r="AM23" s="26"/>
      <c r="AN23" s="26"/>
      <c r="AO23" s="26"/>
    </row>
    <row r="24" spans="1:41" ht="14.25" x14ac:dyDescent="0.2">
      <c r="A24" s="11"/>
      <c r="B24" s="15"/>
      <c r="C24" s="14"/>
      <c r="D24" s="12"/>
      <c r="E24" s="12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1"/>
      <c r="U24" s="11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26"/>
      <c r="AI24" s="26"/>
      <c r="AJ24" s="26"/>
      <c r="AK24" s="26"/>
      <c r="AL24" s="26"/>
      <c r="AM24" s="26"/>
      <c r="AN24" s="26"/>
      <c r="AO24" s="26"/>
    </row>
    <row r="25" spans="1:41" ht="14.25" x14ac:dyDescent="0.2">
      <c r="A25" s="11"/>
      <c r="B25" s="15"/>
      <c r="C25" s="14"/>
      <c r="D25" s="12"/>
      <c r="E25" s="12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1"/>
      <c r="U25" s="11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26"/>
      <c r="AI25" s="26"/>
      <c r="AJ25" s="26"/>
      <c r="AK25" s="26"/>
      <c r="AL25" s="26"/>
      <c r="AM25" s="26"/>
      <c r="AN25" s="26"/>
      <c r="AO25" s="26"/>
    </row>
    <row r="26" spans="1:41" ht="14.25" x14ac:dyDescent="0.2">
      <c r="A26" s="11"/>
      <c r="B26" s="15"/>
      <c r="C26" s="14"/>
      <c r="D26" s="12"/>
      <c r="E26" s="12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1"/>
      <c r="U26" s="11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26"/>
      <c r="AI26" s="26"/>
      <c r="AJ26" s="26"/>
      <c r="AK26" s="26"/>
      <c r="AL26" s="26"/>
      <c r="AM26" s="26"/>
      <c r="AN26" s="26"/>
      <c r="AO26" s="26"/>
    </row>
    <row r="27" spans="1:41" ht="14.25" x14ac:dyDescent="0.2">
      <c r="A27" s="11"/>
      <c r="B27" s="15"/>
      <c r="C27" s="14"/>
      <c r="D27" s="12"/>
      <c r="E27" s="12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1"/>
      <c r="U27" s="11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26"/>
      <c r="AI27" s="26"/>
      <c r="AJ27" s="26"/>
      <c r="AK27" s="26"/>
      <c r="AL27" s="26"/>
      <c r="AM27" s="26"/>
      <c r="AN27" s="26"/>
      <c r="AO27" s="26"/>
    </row>
    <row r="28" spans="1:41" ht="14.25" x14ac:dyDescent="0.2">
      <c r="A28" s="11"/>
      <c r="B28" s="15"/>
      <c r="C28" s="14"/>
      <c r="D28" s="12"/>
      <c r="E28" s="12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1"/>
      <c r="U28" s="11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26"/>
      <c r="AI28" s="26"/>
      <c r="AJ28" s="26"/>
      <c r="AK28" s="26"/>
      <c r="AL28" s="26"/>
      <c r="AM28" s="26"/>
      <c r="AN28" s="26"/>
      <c r="AO28" s="26"/>
    </row>
    <row r="29" spans="1:41" ht="14.25" x14ac:dyDescent="0.2">
      <c r="A29" s="11"/>
      <c r="B29" s="15"/>
      <c r="C29" s="14"/>
      <c r="D29" s="12"/>
      <c r="E29" s="12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26"/>
      <c r="AI29" s="26"/>
      <c r="AJ29" s="26"/>
      <c r="AK29" s="26"/>
      <c r="AL29" s="26"/>
      <c r="AM29" s="26"/>
      <c r="AN29" s="26"/>
      <c r="AO29" s="26"/>
    </row>
    <row r="30" spans="1:41" ht="14.25" x14ac:dyDescent="0.2">
      <c r="A30" s="11"/>
      <c r="B30" s="15"/>
      <c r="C30" s="14"/>
      <c r="D30" s="12"/>
      <c r="E30" s="12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26"/>
      <c r="AI30" s="26"/>
      <c r="AJ30" s="26"/>
      <c r="AK30" s="26"/>
      <c r="AL30" s="26"/>
      <c r="AM30" s="26"/>
      <c r="AN30" s="26"/>
      <c r="AO30" s="26"/>
    </row>
    <row r="31" spans="1:41" ht="14.25" x14ac:dyDescent="0.2">
      <c r="A31" s="11"/>
      <c r="B31" s="15"/>
      <c r="C31" s="14"/>
      <c r="D31" s="16"/>
      <c r="E31" s="12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26"/>
      <c r="AI31" s="26"/>
      <c r="AJ31" s="26"/>
      <c r="AK31" s="26"/>
      <c r="AL31" s="26"/>
      <c r="AM31" s="26"/>
      <c r="AN31" s="26"/>
      <c r="AO31" s="26"/>
    </row>
    <row r="32" spans="1:41" ht="14.25" x14ac:dyDescent="0.2">
      <c r="A32" s="11"/>
      <c r="B32" s="15"/>
      <c r="C32" s="14"/>
      <c r="D32" s="16"/>
      <c r="E32" s="12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26"/>
      <c r="AI32" s="26"/>
      <c r="AJ32" s="26"/>
      <c r="AK32" s="26"/>
      <c r="AL32" s="26"/>
      <c r="AM32" s="26"/>
      <c r="AN32" s="26"/>
      <c r="AO32" s="26"/>
    </row>
    <row r="33" spans="1:41" ht="14.25" x14ac:dyDescent="0.2">
      <c r="A33" s="7"/>
      <c r="B33" s="11"/>
      <c r="C33" s="17"/>
      <c r="D33" s="13"/>
      <c r="E33" s="13"/>
      <c r="F33" s="13"/>
      <c r="G33" s="13">
        <f>SUM(G4:G32)</f>
        <v>0</v>
      </c>
      <c r="H33" s="13">
        <f t="shared" ref="H33:AO33" si="0">SUM(H4:H32)</f>
        <v>0</v>
      </c>
      <c r="I33" s="13">
        <f t="shared" si="0"/>
        <v>0</v>
      </c>
      <c r="J33" s="13">
        <f t="shared" si="0"/>
        <v>0</v>
      </c>
      <c r="K33" s="13">
        <f t="shared" si="0"/>
        <v>0</v>
      </c>
      <c r="L33" s="13">
        <f t="shared" si="0"/>
        <v>0</v>
      </c>
      <c r="M33" s="13">
        <f t="shared" si="0"/>
        <v>0</v>
      </c>
      <c r="N33" s="13">
        <f t="shared" si="0"/>
        <v>0</v>
      </c>
      <c r="O33" s="13">
        <f t="shared" si="0"/>
        <v>0</v>
      </c>
      <c r="P33" s="13">
        <f t="shared" si="0"/>
        <v>0</v>
      </c>
      <c r="Q33" s="13">
        <f t="shared" si="0"/>
        <v>0</v>
      </c>
      <c r="R33" s="13">
        <f t="shared" si="0"/>
        <v>0</v>
      </c>
      <c r="S33" s="13">
        <f t="shared" si="0"/>
        <v>0</v>
      </c>
      <c r="T33" s="13">
        <f t="shared" si="0"/>
        <v>0</v>
      </c>
      <c r="U33" s="13">
        <f t="shared" si="0"/>
        <v>0</v>
      </c>
      <c r="V33" s="13">
        <f t="shared" si="0"/>
        <v>0</v>
      </c>
      <c r="W33" s="13">
        <f t="shared" si="0"/>
        <v>0</v>
      </c>
      <c r="X33" s="13">
        <f t="shared" si="0"/>
        <v>0</v>
      </c>
      <c r="Y33" s="13">
        <f t="shared" si="0"/>
        <v>0</v>
      </c>
      <c r="Z33" s="13">
        <f t="shared" si="0"/>
        <v>0</v>
      </c>
      <c r="AA33" s="13">
        <f t="shared" si="0"/>
        <v>0</v>
      </c>
      <c r="AB33" s="13">
        <f t="shared" si="0"/>
        <v>0</v>
      </c>
      <c r="AC33" s="13">
        <f t="shared" si="0"/>
        <v>0</v>
      </c>
      <c r="AD33" s="13">
        <f t="shared" si="0"/>
        <v>0</v>
      </c>
      <c r="AE33" s="13">
        <f t="shared" si="0"/>
        <v>0</v>
      </c>
      <c r="AF33" s="13">
        <f t="shared" si="0"/>
        <v>0</v>
      </c>
      <c r="AG33" s="13">
        <f t="shared" si="0"/>
        <v>0</v>
      </c>
      <c r="AH33" s="13">
        <f t="shared" si="0"/>
        <v>0</v>
      </c>
      <c r="AI33" s="13">
        <f t="shared" si="0"/>
        <v>0</v>
      </c>
      <c r="AJ33" s="13">
        <f t="shared" si="0"/>
        <v>0</v>
      </c>
      <c r="AK33" s="13">
        <f t="shared" si="0"/>
        <v>0</v>
      </c>
      <c r="AL33" s="13">
        <f t="shared" si="0"/>
        <v>0</v>
      </c>
      <c r="AM33" s="13">
        <f t="shared" si="0"/>
        <v>0</v>
      </c>
      <c r="AN33" s="13">
        <f t="shared" si="0"/>
        <v>0</v>
      </c>
      <c r="AO33" s="13">
        <f t="shared" si="0"/>
        <v>0</v>
      </c>
    </row>
  </sheetData>
  <mergeCells count="20">
    <mergeCell ref="Y1:AA1"/>
    <mergeCell ref="G2:H2"/>
    <mergeCell ref="I2:K2"/>
    <mergeCell ref="M2:O2"/>
    <mergeCell ref="P2:S2"/>
    <mergeCell ref="T2:U2"/>
    <mergeCell ref="V2:X2"/>
    <mergeCell ref="Y2:AA2"/>
    <mergeCell ref="G1:H1"/>
    <mergeCell ref="I1:K1"/>
    <mergeCell ref="M1:O1"/>
    <mergeCell ref="P1:S1"/>
    <mergeCell ref="T1:U1"/>
    <mergeCell ref="AB2:AD2"/>
    <mergeCell ref="AH2:AM2"/>
    <mergeCell ref="AN2:AO2"/>
    <mergeCell ref="AB1:AD1"/>
    <mergeCell ref="AH1:AJ1"/>
    <mergeCell ref="AK1:AM1"/>
    <mergeCell ref="AN1:AO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0D00A-D7DE-4A18-9AED-6CEC2FADC914}">
  <dimension ref="B1:F16"/>
  <sheetViews>
    <sheetView showGridLines="0" workbookViewId="0"/>
  </sheetViews>
  <sheetFormatPr defaultRowHeight="12.75" x14ac:dyDescent="0.2"/>
  <cols>
    <col min="1" max="1" width="1.140625" customWidth="1"/>
    <col min="2" max="2" width="64.42578125" customWidth="1"/>
    <col min="3" max="3" width="1.5703125" customWidth="1"/>
    <col min="4" max="4" width="5.5703125" customWidth="1"/>
    <col min="5" max="6" width="16" customWidth="1"/>
  </cols>
  <sheetData>
    <row r="1" spans="2:6" ht="25.5" x14ac:dyDescent="0.2">
      <c r="B1" s="212" t="s">
        <v>241</v>
      </c>
      <c r="C1" s="212"/>
      <c r="D1" s="219"/>
      <c r="E1" s="219"/>
      <c r="F1" s="219"/>
    </row>
    <row r="2" spans="2:6" x14ac:dyDescent="0.2">
      <c r="B2" s="212" t="s">
        <v>242</v>
      </c>
      <c r="C2" s="212"/>
      <c r="D2" s="219"/>
      <c r="E2" s="219"/>
      <c r="F2" s="219"/>
    </row>
    <row r="3" spans="2:6" x14ac:dyDescent="0.2">
      <c r="B3" s="213"/>
      <c r="C3" s="213"/>
      <c r="D3" s="220"/>
      <c r="E3" s="220"/>
      <c r="F3" s="220"/>
    </row>
    <row r="4" spans="2:6" ht="25.5" x14ac:dyDescent="0.2">
      <c r="B4" s="213" t="s">
        <v>243</v>
      </c>
      <c r="C4" s="213"/>
      <c r="D4" s="220"/>
      <c r="E4" s="220"/>
      <c r="F4" s="220"/>
    </row>
    <row r="5" spans="2:6" x14ac:dyDescent="0.2">
      <c r="B5" s="213"/>
      <c r="C5" s="213"/>
      <c r="D5" s="220"/>
      <c r="E5" s="220"/>
      <c r="F5" s="220"/>
    </row>
    <row r="6" spans="2:6" x14ac:dyDescent="0.2">
      <c r="B6" s="212" t="s">
        <v>244</v>
      </c>
      <c r="C6" s="212"/>
      <c r="D6" s="219"/>
      <c r="E6" s="219" t="s">
        <v>245</v>
      </c>
      <c r="F6" s="219" t="s">
        <v>246</v>
      </c>
    </row>
    <row r="7" spans="2:6" ht="13.5" thickBot="1" x14ac:dyDescent="0.25">
      <c r="B7" s="213"/>
      <c r="C7" s="213"/>
      <c r="D7" s="220"/>
      <c r="E7" s="220"/>
      <c r="F7" s="220"/>
    </row>
    <row r="8" spans="2:6" ht="25.5" x14ac:dyDescent="0.2">
      <c r="B8" s="214" t="s">
        <v>247</v>
      </c>
      <c r="C8" s="215"/>
      <c r="D8" s="221"/>
      <c r="E8" s="221">
        <v>1</v>
      </c>
      <c r="F8" s="222" t="s">
        <v>248</v>
      </c>
    </row>
    <row r="9" spans="2:6" x14ac:dyDescent="0.2">
      <c r="B9" s="216"/>
      <c r="C9" s="213"/>
      <c r="D9" s="220"/>
      <c r="E9" s="220"/>
      <c r="F9" s="223" t="s">
        <v>249</v>
      </c>
    </row>
    <row r="10" spans="2:6" x14ac:dyDescent="0.2">
      <c r="B10" s="216"/>
      <c r="C10" s="213"/>
      <c r="D10" s="220"/>
      <c r="E10" s="220"/>
      <c r="F10" s="223" t="s">
        <v>250</v>
      </c>
    </row>
    <row r="11" spans="2:6" x14ac:dyDescent="0.2">
      <c r="B11" s="216"/>
      <c r="C11" s="213"/>
      <c r="D11" s="220"/>
      <c r="E11" s="220"/>
      <c r="F11" s="223" t="s">
        <v>251</v>
      </c>
    </row>
    <row r="12" spans="2:6" x14ac:dyDescent="0.2">
      <c r="B12" s="216"/>
      <c r="C12" s="213"/>
      <c r="D12" s="220"/>
      <c r="E12" s="220"/>
      <c r="F12" s="223" t="s">
        <v>252</v>
      </c>
    </row>
    <row r="13" spans="2:6" x14ac:dyDescent="0.2">
      <c r="B13" s="216"/>
      <c r="C13" s="213"/>
      <c r="D13" s="220"/>
      <c r="E13" s="220"/>
      <c r="F13" s="223" t="s">
        <v>253</v>
      </c>
    </row>
    <row r="14" spans="2:6" ht="13.5" thickBot="1" x14ac:dyDescent="0.25">
      <c r="B14" s="217"/>
      <c r="C14" s="218"/>
      <c r="D14" s="224"/>
      <c r="E14" s="224"/>
      <c r="F14" s="225" t="s">
        <v>254</v>
      </c>
    </row>
    <row r="15" spans="2:6" x14ac:dyDescent="0.2">
      <c r="B15" s="213"/>
      <c r="C15" s="213"/>
      <c r="D15" s="220"/>
      <c r="E15" s="220"/>
      <c r="F15" s="220"/>
    </row>
    <row r="16" spans="2:6" x14ac:dyDescent="0.2">
      <c r="B16" s="213"/>
      <c r="C16" s="213"/>
      <c r="D16" s="220"/>
      <c r="E16" s="220"/>
      <c r="F16" s="2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BILL FORM-1</vt:lpstr>
      <vt:lpstr>GST BILL</vt:lpstr>
      <vt:lpstr>GST BILL 2</vt:lpstr>
      <vt:lpstr>BILL FORM-2</vt:lpstr>
      <vt:lpstr>Sheet3</vt:lpstr>
      <vt:lpstr>Sheet1</vt:lpstr>
      <vt:lpstr>'BILL FORM-1'!Print_Area</vt:lpstr>
      <vt:lpstr>'BILL FORM-2'!Print_Area</vt:lpstr>
      <vt:lpstr>'GST BILL'!Print_Area</vt:lpstr>
      <vt:lpstr>'GST BILL 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Jaydeep Bhadru</cp:lastModifiedBy>
  <cp:lastPrinted>2026-10-20T10:48:45Z</cp:lastPrinted>
  <dcterms:created xsi:type="dcterms:W3CDTF">2006-07-05T04:45:43Z</dcterms:created>
  <dcterms:modified xsi:type="dcterms:W3CDTF">2026-10-21T11:34:07Z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45B8E93051D5483599EBB85957D53E73</vt:lpwstr>
  </property>
  <property fmtid="{D5CDD505-2E9C-101B-9397-08002B2CF9AE}" pid="3" name="KSOProductBuildVer">
    <vt:lpwstr>1033-11.2.0.11537</vt:lpwstr>
  </property>
</Properties>
</file>